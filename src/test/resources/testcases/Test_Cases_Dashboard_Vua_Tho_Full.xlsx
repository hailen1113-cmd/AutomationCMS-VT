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cde37ee8be48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1903fcaf594ee6"/>
    <x:sheet xmlns:r="http://schemas.openxmlformats.org/officeDocument/2006/relationships" name="Feature_Inventory" sheetId="2" r:id="R383fff4ccd1b4d38"/>
    <x:sheet xmlns:r="http://schemas.openxmlformats.org/officeDocument/2006/relationships" name="All_Test_Cases" sheetId="3" r:id="R75d37b4e4c904957"/>
    <x:sheet xmlns:r="http://schemas.openxmlformats.org/officeDocument/2006/relationships" name="Dashboard_Session" sheetId="4" r:id="R0c12de9201c54957"/>
    <x:sheet xmlns:r="http://schemas.openxmlformats.org/officeDocument/2006/relationships" name="Header_Widgets" sheetId="5" r:id="Rd5e7c1836e814e1d"/>
    <x:sheet xmlns:r="http://schemas.openxmlformats.org/officeDocument/2006/relationships" name="Sidebar_Menu" sheetId="6" r:id="R3359491c3c08482e"/>
    <x:sheet xmlns:r="http://schemas.openxmlformats.org/officeDocument/2006/relationships" name="Overview_Drawer" sheetId="7" r:id="Rbcd68882a3dc4a12"/>
    <x:sheet xmlns:r="http://schemas.openxmlformats.org/officeDocument/2006/relationships" name="User_Statistics" sheetId="8" r:id="R3370d02e53704a14"/>
    <x:sheet xmlns:r="http://schemas.openxmlformats.org/officeDocument/2006/relationships" name="Industry_Statistics" sheetId="9" r:id="Re6b1033f79bf4634"/>
    <x:sheet xmlns:r="http://schemas.openxmlformats.org/officeDocument/2006/relationships" name="Common_Quality" sheetId="10" r:id="Rf15ba14b254a4722"/>
    <x:sheet xmlns:r="http://schemas.openxmlformats.org/officeDocument/2006/relationships" name="Traceability" sheetId="11" r:id="R4372b3bbdf464e8f"/>
    <x:sheet xmlns:r="http://schemas.openxmlformats.org/officeDocument/2006/relationships" name="Test_Data" sheetId="12" r:id="R2b436035eee248ee"/>
    <x:sheet xmlns:r="http://schemas.openxmlformats.org/officeDocument/2006/relationships" name="Lists" sheetId="13" r:id="Re8a2f86684f745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4546A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72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5CD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5CD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5CD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5CD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5CD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5CD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5CD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5CD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8130c3894a4067" /><Relationship Type="http://schemas.openxmlformats.org/officeDocument/2006/relationships/theme" Target="/xl/theme/theme1.xml" Id="R23456526c37145ba" /><Relationship Type="http://schemas.openxmlformats.org/officeDocument/2006/relationships/sharedStrings" Target="/xl/sharedStrings.xml" Id="Rd705e11f8811488c" /><Relationship Type="http://schemas.openxmlformats.org/officeDocument/2006/relationships/worksheet" Target="/xl/worksheets/sheet1.xml" Id="Rec1903fcaf594ee6" /><Relationship Type="http://schemas.openxmlformats.org/officeDocument/2006/relationships/worksheet" Target="/xl/worksheets/sheet2.xml" Id="R383fff4ccd1b4d38" /><Relationship Type="http://schemas.openxmlformats.org/officeDocument/2006/relationships/worksheet" Target="/xl/worksheets/sheet3.xml" Id="R75d37b4e4c904957" /><Relationship Type="http://schemas.openxmlformats.org/officeDocument/2006/relationships/worksheet" Target="/xl/worksheets/sheet4.xml" Id="R0c12de9201c54957" /><Relationship Type="http://schemas.openxmlformats.org/officeDocument/2006/relationships/worksheet" Target="/xl/worksheets/sheet5.xml" Id="Rd5e7c1836e814e1d" /><Relationship Type="http://schemas.openxmlformats.org/officeDocument/2006/relationships/worksheet" Target="/xl/worksheets/sheet6.xml" Id="R3359491c3c08482e" /><Relationship Type="http://schemas.openxmlformats.org/officeDocument/2006/relationships/worksheet" Target="/xl/worksheets/sheet7.xml" Id="Rbcd68882a3dc4a12" /><Relationship Type="http://schemas.openxmlformats.org/officeDocument/2006/relationships/worksheet" Target="/xl/worksheets/sheet8.xml" Id="R3370d02e53704a14" /><Relationship Type="http://schemas.openxmlformats.org/officeDocument/2006/relationships/worksheet" Target="/xl/worksheets/sheet9.xml" Id="Re6b1033f79bf4634" /><Relationship Type="http://schemas.openxmlformats.org/officeDocument/2006/relationships/worksheet" Target="/xl/worksheets/sheet10.xml" Id="Rf15ba14b254a4722" /><Relationship Type="http://schemas.openxmlformats.org/officeDocument/2006/relationships/worksheet" Target="/xl/worksheets/sheet11.xml" Id="R4372b3bbdf464e8f" /><Relationship Type="http://schemas.openxmlformats.org/officeDocument/2006/relationships/worksheet" Target="/xl/worksheets/sheet12.xml" Id="R2b436035eee248ee" /><Relationship Type="http://schemas.openxmlformats.org/officeDocument/2006/relationships/worksheet" Target="/xl/worksheets/sheet13.xml" Id="Re8a2f86684f745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bd08d6519ac4d60" /><Relationship Type="http://schemas.openxmlformats.org/officeDocument/2006/relationships/chart" Target="/xl/drawings/charts/chart2.xml" Id="R1e5902ff446943d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Test cases theo module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Test Cases</c:v>
          </c:tx>
          <c:cat>
            <c:strRef>
              <c:f>'Summary'!$A$14:$A$21</c:f>
              <c:strCache>
                <c:ptCount val="0"/>
              </c:strCache>
            </c:strRef>
          </c:cat>
          <c:val>
            <c:numRef>
              <c:f>'Summary'!$B$14:$B$21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Trạng thái thực thi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'Summary'!$D$14:$D$18</c:f>
              <c:strCache>
                <c:ptCount val="0"/>
              </c:strCache>
            </c:strRef>
          </c:cat>
          <c:val>
            <c:numRef>
              <c:f>'Summary'!$E$14:$E$18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5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d08d6519ac4d60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10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5902ff446943d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eatureInventoryTable" displayName="FeatureInventoryTable" ref="A4:G32" headerRowCount="1">
  <x:tableColumns count="7">
    <x:tableColumn id="1" name="Feature ID"/>
    <x:tableColumn id="2" name="Module"/>
    <x:tableColumn id="3" name="Feature"/>
    <x:tableColumn id="4" name="DOM Evidence"/>
    <x:tableColumn id="5" name="Current DOM State"/>
    <x:tableColumn id="6" name="Automation Feasibility"/>
    <x:tableColumn id="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AllDashboardTestCases" displayName="AllDashboardTestCases" ref="A4:N226" headerRowCount="1">
  <x:tableColumns count="14">
    <x:tableColumn id="1" name="Test Case ID"/>
    <x:tableColumn id="2" name="Module"/>
    <x:tableColumn id="3" name="Test Scenario"/>
    <x:tableColumn id="4" name="Precondition"/>
    <x:tableColumn id="5" name="Test Steps"/>
    <x:tableColumn id="6" name="Expected Result"/>
    <x:tableColumn id="7" name="Severity"/>
    <x:tableColumn id="8" name="Priority"/>
    <x:tableColumn id="9" name="Test Type"/>
    <x:tableColumn id="10" name="Automation Feasibility"/>
    <x:tableColumn id="11" name="Actual Result"/>
    <x:tableColumn id="12" name="Status"/>
    <x:tableColumn id="13" name="Tester"/>
    <x:tableColumn id="14" name="Notes / DOM Evidence"/>
  </x:tableColumns>
  <x:tableStyleInfo name="TableStyleMedium2" showRowStripes="1"/>
</x:table>
</file>

<file path=xl/tables/table3.xml><?xml version="1.0" encoding="utf-8"?>
<x:table xmlns:x="http://schemas.openxmlformats.org/spreadsheetml/2006/main" id="3" name="DashboardSessionTable" displayName="DashboardSessionTable" ref="A4:N19" headerRowCount="1">
  <x:tableColumns count="14">
    <x:tableColumn id="1" name="Test Case ID"/>
    <x:tableColumn id="2" name="Module"/>
    <x:tableColumn id="3" name="Test Scenario"/>
    <x:tableColumn id="4" name="Precondition"/>
    <x:tableColumn id="5" name="Test Steps"/>
    <x:tableColumn id="6" name="Expected Result"/>
    <x:tableColumn id="7" name="Severity"/>
    <x:tableColumn id="8" name="Priority"/>
    <x:tableColumn id="9" name="Test Type"/>
    <x:tableColumn id="10" name="Automation Feasibility"/>
    <x:tableColumn id="11" name="Actual Result"/>
    <x:tableColumn id="12" name="Status"/>
    <x:tableColumn id="13" name="Tester"/>
    <x:tableColumn id="14" name="Notes / DOM Evidence"/>
  </x:tableColumns>
  <x:tableStyleInfo name="TableStyleMedium2" showRowStripes="1"/>
</x:table>
</file>

<file path=xl/tables/table4.xml><?xml version="1.0" encoding="utf-8"?>
<x:table xmlns:x="http://schemas.openxmlformats.org/spreadsheetml/2006/main" id="4" name="HeaderWidgetsTable" displayName="HeaderWidgetsTable" ref="A4:N19" headerRowCount="1">
  <x:tableColumns count="14">
    <x:tableColumn id="1" name="Test Case ID"/>
    <x:tableColumn id="2" name="Module"/>
    <x:tableColumn id="3" name="Test Scenario"/>
    <x:tableColumn id="4" name="Precondition"/>
    <x:tableColumn id="5" name="Test Steps"/>
    <x:tableColumn id="6" name="Expected Result"/>
    <x:tableColumn id="7" name="Severity"/>
    <x:tableColumn id="8" name="Priority"/>
    <x:tableColumn id="9" name="Test Type"/>
    <x:tableColumn id="10" name="Automation Feasibility"/>
    <x:tableColumn id="11" name="Actual Result"/>
    <x:tableColumn id="12" name="Status"/>
    <x:tableColumn id="13" name="Tester"/>
    <x:tableColumn id="14" name="Notes / DOM Evidence"/>
  </x:tableColumns>
  <x:tableStyleInfo name="TableStyleMedium2" showRowStripes="1"/>
</x:table>
</file>

<file path=xl/tables/table5.xml><?xml version="1.0" encoding="utf-8"?>
<x:table xmlns:x="http://schemas.openxmlformats.org/spreadsheetml/2006/main" id="5" name="SidebarMenuTable" displayName="SidebarMenuTable" ref="A4:N44" headerRowCount="1">
  <x:tableColumns count="14">
    <x:tableColumn id="1" name="Test Case ID"/>
    <x:tableColumn id="2" name="Module"/>
    <x:tableColumn id="3" name="Test Scenario"/>
    <x:tableColumn id="4" name="Precondition"/>
    <x:tableColumn id="5" name="Test Steps"/>
    <x:tableColumn id="6" name="Expected Result"/>
    <x:tableColumn id="7" name="Severity"/>
    <x:tableColumn id="8" name="Priority"/>
    <x:tableColumn id="9" name="Test Type"/>
    <x:tableColumn id="10" name="Automation Feasibility"/>
    <x:tableColumn id="11" name="Actual Result"/>
    <x:tableColumn id="12" name="Status"/>
    <x:tableColumn id="13" name="Tester"/>
    <x:tableColumn id="14" name="Notes / DOM Evidence"/>
  </x:tableColumns>
  <x:tableStyleInfo name="TableStyleMedium2" showRowStripes="1"/>
</x:table>
</file>

<file path=xl/tables/table6.xml><?xml version="1.0" encoding="utf-8"?>
<x:table xmlns:x="http://schemas.openxmlformats.org/spreadsheetml/2006/main" id="6" name="OverviewDrawerTable" displayName="OverviewDrawerTable" ref="A4:N40" headerRowCount="1">
  <x:tableColumns count="14">
    <x:tableColumn id="1" name="Test Case ID"/>
    <x:tableColumn id="2" name="Module"/>
    <x:tableColumn id="3" name="Test Scenario"/>
    <x:tableColumn id="4" name="Precondition"/>
    <x:tableColumn id="5" name="Test Steps"/>
    <x:tableColumn id="6" name="Expected Result"/>
    <x:tableColumn id="7" name="Severity"/>
    <x:tableColumn id="8" name="Priority"/>
    <x:tableColumn id="9" name="Test Type"/>
    <x:tableColumn id="10" name="Automation Feasibility"/>
    <x:tableColumn id="11" name="Actual Result"/>
    <x:tableColumn id="12" name="Status"/>
    <x:tableColumn id="13" name="Tester"/>
    <x:tableColumn id="14" name="Notes / DOM Evidence"/>
  </x:tableColumns>
  <x:tableStyleInfo name="TableStyleMedium2" showRowStripes="1"/>
</x:table>
</file>

<file path=xl/tables/table7.xml><?xml version="1.0" encoding="utf-8"?>
<x:table xmlns:x="http://schemas.openxmlformats.org/spreadsheetml/2006/main" id="7" name="UserStatisticsTable" displayName="UserStatisticsTable" ref="A4:N52" headerRowCount="1">
  <x:tableColumns count="14">
    <x:tableColumn id="1" name="Test Case ID"/>
    <x:tableColumn id="2" name="Module"/>
    <x:tableColumn id="3" name="Test Scenario"/>
    <x:tableColumn id="4" name="Precondition"/>
    <x:tableColumn id="5" name="Test Steps"/>
    <x:tableColumn id="6" name="Expected Result"/>
    <x:tableColumn id="7" name="Severity"/>
    <x:tableColumn id="8" name="Priority"/>
    <x:tableColumn id="9" name="Test Type"/>
    <x:tableColumn id="10" name="Automation Feasibility"/>
    <x:tableColumn id="11" name="Actual Result"/>
    <x:tableColumn id="12" name="Status"/>
    <x:tableColumn id="13" name="Tester"/>
    <x:tableColumn id="14" name="Notes / DOM Evidence"/>
  </x:tableColumns>
  <x:tableStyleInfo name="TableStyleMedium2" showRowStripes="1"/>
</x:table>
</file>

<file path=xl/tables/table8.xml><?xml version="1.0" encoding="utf-8"?>
<x:table xmlns:x="http://schemas.openxmlformats.org/spreadsheetml/2006/main" id="8" name="IndustryStatisticsTable" displayName="IndustryStatisticsTable" ref="A4:N52" headerRowCount="1">
  <x:tableColumns count="14">
    <x:tableColumn id="1" name="Test Case ID"/>
    <x:tableColumn id="2" name="Module"/>
    <x:tableColumn id="3" name="Test Scenario"/>
    <x:tableColumn id="4" name="Precondition"/>
    <x:tableColumn id="5" name="Test Steps"/>
    <x:tableColumn id="6" name="Expected Result"/>
    <x:tableColumn id="7" name="Severity"/>
    <x:tableColumn id="8" name="Priority"/>
    <x:tableColumn id="9" name="Test Type"/>
    <x:tableColumn id="10" name="Automation Feasibility"/>
    <x:tableColumn id="11" name="Actual Result"/>
    <x:tableColumn id="12" name="Status"/>
    <x:tableColumn id="13" name="Tester"/>
    <x:tableColumn id="14" name="Notes / DOM Evidence"/>
  </x:tableColumns>
  <x:tableStyleInfo name="TableStyleMedium2" showRowStripes="1"/>
</x:table>
</file>

<file path=xl/tables/table9.xml><?xml version="1.0" encoding="utf-8"?>
<x:table xmlns:x="http://schemas.openxmlformats.org/spreadsheetml/2006/main" id="9" name="CommonQualityTable" displayName="CommonQualityTable" ref="A4:N24" headerRowCount="1">
  <x:tableColumns count="14">
    <x:tableColumn id="1" name="Test Case ID"/>
    <x:tableColumn id="2" name="Module"/>
    <x:tableColumn id="3" name="Test Scenario"/>
    <x:tableColumn id="4" name="Precondition"/>
    <x:tableColumn id="5" name="Test Steps"/>
    <x:tableColumn id="6" name="Expected Result"/>
    <x:tableColumn id="7" name="Severity"/>
    <x:tableColumn id="8" name="Priority"/>
    <x:tableColumn id="9" name="Test Type"/>
    <x:tableColumn id="10" name="Automation Feasibility"/>
    <x:tableColumn id="11" name="Actual Result"/>
    <x:tableColumn id="12" name="Status"/>
    <x:tableColumn id="13" name="Tester"/>
    <x:tableColumn id="14" name="Notes / DOM Evidence"/>
  </x:tableColumns>
  <x:tableStyleInfo name="TableStyleMedium2" showRowStripes="1"/>
</x:table>
</file>

<file path=xl/tables/table10.xml><?xml version="1.0" encoding="utf-8"?>
<x:table xmlns:x="http://schemas.openxmlformats.org/spreadsheetml/2006/main" id="10" name="TraceabilityTable" displayName="TraceabilityTable" ref="A4:F32" headerRowCount="1">
  <x:tableColumns count="6">
    <x:tableColumn id="1" name="Feature ID"/>
    <x:tableColumn id="2" name="Test Case IDs"/>
    <x:tableColumn id="3" name="Automation Class"/>
    <x:tableColumn id="4" name="Page/Component"/>
    <x:tableColumn id="5" name="Coverage Note"/>
    <x:tableColumn id="6" name="Column6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99282b6070e47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7034b245f143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e9b5cbbe724a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234d2c29ff46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5a35151e3346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7196cab49b40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f4506639cb649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ebc5c8d73646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7fc42559f04b7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eda11b140ce43c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427657ba7c247a3" /></Relationships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2" hidden="0" customWidth="1"/>
    <x:col min="3" max="3" width="3" hidden="0" customWidth="1"/>
    <x:col min="4" max="4" width="30" hidden="0" customWidth="1"/>
    <x:col min="5" max="5" width="12" hidden="0" customWidth="1"/>
    <x:col min="6" max="6" width="3" hidden="0" customWidth="1"/>
    <x:col min="7" max="7" width="30" hidden="0" customWidth="1"/>
    <x:col min="8" max="8" width="12" hidden="0" customWidth="1"/>
    <x:col min="9" max="9" width="3" hidden="0" customWidth="1"/>
    <x:col min="10" max="10" width="45" hidden="0" customWidth="1"/>
  </x:cols>
  <x:sheetData>
    <x:row r="1" ht="30" customHeight="1">
      <x:c r="A1" s="5" t="str">
        <x:v>DASHBOARD VUA THỢ – TEST CASE SUMMARY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13" t="str">
        <x:v>Nguồn: outerHTML Dashboard Vua Thợ do người dùng cung cấp. Số liệu trong snapshot là dữ liệu động, không dùng làm expected cố định.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21" t="str">
        <x:v>KPI</x:v>
      </x:c>
      <x:c r="B4" s="21" t="str">
        <x:v>Value</x:v>
      </x:c>
      <x:c r="C4" s="21" t="str"/>
      <x:c r="D4" s="21" t="str">
        <x:v>Automation Readiness</x:v>
      </x:c>
      <x:c r="E4" s="21" t="str">
        <x:v>Value</x:v>
      </x:c>
      <x:c r="F4" s="21" t="str"/>
      <x:c r="G4" s="21" t="str">
        <x:v>Severity</x:v>
      </x:c>
      <x:c r="H4" s="21" t="str">
        <x:v>Value</x:v>
      </x:c>
      <x:c r="I4" s="21" t="str"/>
      <x:c r="J4" s="21" t="str">
        <x:v>Ghi chú</x:v>
      </x:c>
    </x:row>
    <x:row r="5">
      <x:c r="A5" s="37" t="str">
        <x:v>Tổng testcase</x:v>
      </x:c>
      <x:c r="B5" s="33" t="n">
        <x:f>COUNTA(All_Test_Cases!$A$5:$A$226)</x:f>
        <x:v>222</x:v>
      </x:c>
      <x:c r="D5" s="37" t="str">
        <x:v>Automate</x:v>
      </x:c>
      <x:c r="E5" s="33" t="n">
        <x:f>COUNTIF(All_Test_Cases!$J$5:$J$226,"Automate")</x:f>
        <x:v>143</x:v>
      </x:c>
      <x:c r="G5" s="37" t="str">
        <x:v>Critical</x:v>
      </x:c>
      <x:c r="H5" s="33" t="n">
        <x:f>COUNTIF(All_Test_Cases!$G$5:$G$226,"Critical")</x:f>
        <x:v>13</x:v>
      </x:c>
      <x:c r="J5" s="28" t="str">
        <x:v>222 testcase được thiết kế theo toàn bộ flow có bằng chứng trong file: Dashboard, header, sidebar/menu, 6 card tổng quan, drawer, biểu đồ, export Excel, bộ lọc thời gian, so sánh kỳ, thống kê ngành nghề, ranking và các flow lỗi/biên.</x:v>
      </x:c>
    </x:row>
    <x:row r="6">
      <x:c r="A6" s="37" t="str">
        <x:v>Pass</x:v>
      </x:c>
      <x:c r="B6" s="33" t="n">
        <x:f>COUNTIF(All_Test_Cases!$L$5:$L$226,"Pass")</x:f>
        <x:v>0</x:v>
      </x:c>
      <x:c r="D6" s="37" t="str">
        <x:v>Need more DOM</x:v>
      </x:c>
      <x:c r="E6" s="33" t="n">
        <x:f>COUNTIF(All_Test_Cases!$J$5:$J$226,"Need more DOM")</x:f>
        <x:v>36</x:v>
      </x:c>
      <x:c r="G6" s="37" t="str">
        <x:v>High</x:v>
      </x:c>
      <x:c r="H6" s="33" t="n">
        <x:f>COUNTIF(All_Test_Cases!$G$5:$G$226,"High")</x:f>
        <x:v>121</x:v>
      </x:c>
      <x:c r="J6" s="28"/>
    </x:row>
    <x:row r="7">
      <x:c r="A7" s="37" t="str">
        <x:v>Fail</x:v>
      </x:c>
      <x:c r="B7" s="33" t="n">
        <x:f>COUNTIF(All_Test_Cases!$L$5:$L$226,"Fail")</x:f>
        <x:v>0</x:v>
      </x:c>
      <x:c r="D7" s="37" t="str">
        <x:v>Need API/Database</x:v>
      </x:c>
      <x:c r="E7" s="33" t="n">
        <x:f>COUNTIF(All_Test_Cases!$J$5:$J$226,"Need API/Database")</x:f>
        <x:v>28</x:v>
      </x:c>
      <x:c r="G7" s="37" t="str">
        <x:v>Medium</x:v>
      </x:c>
      <x:c r="H7" s="33" t="n">
        <x:f>COUNTIF(All_Test_Cases!$G$5:$G$226,"Medium")</x:f>
        <x:v>69</x:v>
      </x:c>
      <x:c r="J7" s="28"/>
    </x:row>
    <x:row r="8">
      <x:c r="A8" s="37" t="str">
        <x:v>Blocked</x:v>
      </x:c>
      <x:c r="B8" s="33" t="n">
        <x:f>COUNTIF(All_Test_Cases!$L$5:$L$226,"Blocked")</x:f>
        <x:v>0</x:v>
      </x:c>
      <x:c r="D8" s="37" t="str">
        <x:v>Need business requirement</x:v>
      </x:c>
      <x:c r="E8" s="33" t="n">
        <x:f>COUNTIF(All_Test_Cases!$J$5:$J$226,"Need business requirement")</x:f>
        <x:v>13</x:v>
      </x:c>
      <x:c r="G8" s="37" t="str">
        <x:v>Low</x:v>
      </x:c>
      <x:c r="H8" s="33" t="n">
        <x:f>COUNTIF(All_Test_Cases!$G$5:$G$226,"Low")</x:f>
        <x:v>19</x:v>
      </x:c>
      <x:c r="J8" s="28"/>
    </x:row>
    <x:row r="9">
      <x:c r="A9" s="37" t="str">
        <x:v>Skipped</x:v>
      </x:c>
      <x:c r="B9" s="33" t="n">
        <x:f>COUNTIF(All_Test_Cases!$L$5:$L$226,"Skipped")</x:f>
        <x:v>0</x:v>
      </x:c>
      <x:c r="D9" s="37" t="str">
        <x:v>Need API/Network simulation</x:v>
      </x:c>
      <x:c r="E9" s="33" t="n">
        <x:f>COUNTIF(All_Test_Cases!$J$5:$J$226,"Need API/Network simulation")</x:f>
        <x:v>2</x:v>
      </x:c>
      <x:c r="G9" s="33"/>
      <x:c r="H9" s="33"/>
      <x:c r="J9" s="28"/>
    </x:row>
    <x:row r="10">
      <x:c r="A10" s="37" t="str">
        <x:v>Not Run</x:v>
      </x:c>
      <x:c r="B10" s="33" t="n">
        <x:f>COUNTIF(All_Test_Cases!$L$5:$L$226,"Not Run")</x:f>
        <x:v>222</x:v>
      </x:c>
      <x:c r="D10" s="37" t="str">
        <x:v>Manual</x:v>
      </x:c>
      <x:c r="E10" s="33" t="n">
        <x:f>COUNTIF(All_Test_Cases!$J$5:$J$226,"Manual")</x:f>
        <x:v>0</x:v>
      </x:c>
      <x:c r="G10" s="33"/>
      <x:c r="H10" s="33"/>
      <x:c r="J10" s="28"/>
    </x:row>
    <x:row r="13">
      <x:c r="A13" s="39" t="str">
        <x:v>Module</x:v>
      </x:c>
      <x:c r="B13" s="35" t="str">
        <x:v>Test Cases</x:v>
      </x:c>
      <x:c r="D13" s="35" t="str">
        <x:v>Status</x:v>
      </x:c>
      <x:c r="E13" s="35" t="str">
        <x:v>Count</x:v>
      </x:c>
      <x:c r="G13" s="39" t="str">
        <x:v>Automation Feasibility</x:v>
      </x:c>
      <x:c r="H13" s="35" t="str">
        <x:v>Count</x:v>
      </x:c>
    </x:row>
    <x:row r="14">
      <x:c r="A14" s="40" t="str">
        <x:v>Dashboard Load &amp; Session</x:v>
      </x:c>
      <x:c r="B14" s="33" t="n">
        <x:f>COUNTIF(All_Test_Cases!$B$5:$B$226,"Dashboard Load &amp; Session")</x:f>
        <x:v>15</x:v>
      </x:c>
      <x:c r="D14" s="33" t="str">
        <x:v>Pass</x:v>
      </x:c>
      <x:c r="E14" s="33" t="n">
        <x:f>COUNTIF(All_Test_Cases!$L$5:$L$226,"Pass")</x:f>
        <x:v>0</x:v>
      </x:c>
      <x:c r="G14" s="40" t="str">
        <x:v>Automate</x:v>
      </x:c>
      <x:c r="H14" s="33" t="n">
        <x:f>COUNTIF(All_Test_Cases!$J$5:$J$226,"Automate")</x:f>
        <x:v>143</x:v>
      </x:c>
    </x:row>
    <x:row r="15">
      <x:c r="A15" s="40" t="str">
        <x:v>Header &amp; Common Widgets</x:v>
      </x:c>
      <x:c r="B15" s="33" t="n">
        <x:f>COUNTIF(All_Test_Cases!$B$5:$B$226,"Header &amp; Common Widgets")</x:f>
        <x:v>15</x:v>
      </x:c>
      <x:c r="D15" s="33" t="str">
        <x:v>Fail</x:v>
      </x:c>
      <x:c r="E15" s="33" t="n">
        <x:f>COUNTIF(All_Test_Cases!$L$5:$L$226,"Fail")</x:f>
        <x:v>0</x:v>
      </x:c>
      <x:c r="G15" s="40" t="str">
        <x:v>Need more DOM</x:v>
      </x:c>
      <x:c r="H15" s="33" t="n">
        <x:f>COUNTIF(All_Test_Cases!$J$5:$J$226,"Need more DOM")</x:f>
        <x:v>36</x:v>
      </x:c>
    </x:row>
    <x:row r="16">
      <x:c r="A16" s="40" t="str">
        <x:v>Sidebar &amp; Menu</x:v>
      </x:c>
      <x:c r="B16" s="33" t="n">
        <x:f>COUNTIF(All_Test_Cases!$B$5:$B$226,"Sidebar &amp; Menu")</x:f>
        <x:v>40</x:v>
      </x:c>
      <x:c r="D16" s="33" t="str">
        <x:v>Blocked</x:v>
      </x:c>
      <x:c r="E16" s="33" t="n">
        <x:f>COUNTIF(All_Test_Cases!$L$5:$L$226,"Blocked")</x:f>
        <x:v>0</x:v>
      </x:c>
      <x:c r="G16" s="40" t="str">
        <x:v>Need API/Database</x:v>
      </x:c>
      <x:c r="H16" s="33" t="n">
        <x:f>COUNTIF(All_Test_Cases!$J$5:$J$226,"Need API/Database")</x:f>
        <x:v>28</x:v>
      </x:c>
    </x:row>
    <x:row r="17">
      <x:c r="A17" s="40" t="str">
        <x:v>Overview Cards &amp; Drawer</x:v>
      </x:c>
      <x:c r="B17" s="33" t="n">
        <x:f>COUNTIF(All_Test_Cases!$B$5:$B$226,"Overview Cards &amp; Drawer")</x:f>
        <x:v>28</x:v>
      </x:c>
      <x:c r="D17" s="33" t="str">
        <x:v>Skipped</x:v>
      </x:c>
      <x:c r="E17" s="33" t="n">
        <x:f>COUNTIF(All_Test_Cases!$L$5:$L$226,"Skipped")</x:f>
        <x:v>0</x:v>
      </x:c>
      <x:c r="G17" s="40" t="str">
        <x:v>Need business requirement</x:v>
      </x:c>
      <x:c r="H17" s="33" t="n">
        <x:f>COUNTIF(All_Test_Cases!$J$5:$J$226,"Need business requirement")</x:f>
        <x:v>13</x:v>
      </x:c>
    </x:row>
    <x:row r="18">
      <x:c r="A18" s="40" t="str">
        <x:v>Global Coverage Card</x:v>
      </x:c>
      <x:c r="B18" s="33" t="n">
        <x:f>COUNTIF(All_Test_Cases!$B$5:$B$226,"Global Coverage Card")</x:f>
        <x:v>8</x:v>
      </x:c>
      <x:c r="D18" s="33" t="str">
        <x:v>Not Run</x:v>
      </x:c>
      <x:c r="E18" s="33" t="n">
        <x:f>COUNTIF(All_Test_Cases!$L$5:$L$226,"Not Run")</x:f>
        <x:v>222</x:v>
      </x:c>
      <x:c r="G18" s="40" t="str">
        <x:v>Need API/Network simulation</x:v>
      </x:c>
      <x:c r="H18" s="33" t="n">
        <x:f>COUNTIF(All_Test_Cases!$J$5:$J$226,"Need API/Network simulation")</x:f>
        <x:v>2</x:v>
      </x:c>
    </x:row>
    <x:row r="19">
      <x:c r="A19" s="40" t="str">
        <x:v>User Statistics</x:v>
      </x:c>
      <x:c r="B19" s="33" t="n">
        <x:f>COUNTIF(All_Test_Cases!$B$5:$B$226,"User Statistics")</x:f>
        <x:v>48</x:v>
      </x:c>
      <x:c r="G19" s="40" t="str">
        <x:v>Manual</x:v>
      </x:c>
      <x:c r="H19" s="33" t="n">
        <x:f>COUNTIF(All_Test_Cases!$J$5:$J$226,"Manual")</x:f>
        <x:v>0</x:v>
      </x:c>
    </x:row>
    <x:row r="20">
      <x:c r="A20" s="40" t="str">
        <x:v>Industry Statistics</x:v>
      </x:c>
      <x:c r="B20" s="33" t="n">
        <x:f>COUNTIF(All_Test_Cases!$B$5:$B$226,"Industry Statistics")</x:f>
        <x:v>48</x:v>
      </x:c>
    </x:row>
    <x:row r="21">
      <x:c r="A21" s="40" t="str">
        <x:v>Common UI, Accessibility &amp; Recovery</x:v>
      </x:c>
      <x:c r="B21" s="33" t="n">
        <x:f>COUNTIF(All_Test_Cases!$B$5:$B$226,"Common UI, Accessibility &amp; Recovery")</x:f>
        <x:v>20</x:v>
      </x:c>
    </x:row>
  </x:sheetData>
  <x:mergeCells>
    <x:mergeCell ref="A1:J1"/>
    <x:mergeCell ref="A2:J2"/>
    <x:mergeCell ref="J5:J10"/>
  </x:mergeCells>
  <x:pageMargins left="0.7" right="0.7" top="0.75" bottom="0.75" header="0.3" footer="0.3"/>
  <x:drawing xmlns:r="http://schemas.openxmlformats.org/officeDocument/2006/relationships" r:id="R599282b6070e479c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5" hidden="0" customWidth="1"/>
    <x:col min="4" max="4" width="45" hidden="0" customWidth="1"/>
    <x:col min="5" max="5" width="24" hidden="0" customWidth="1"/>
    <x:col min="6" max="6" width="24" hidden="0" customWidth="1"/>
    <x:col min="7" max="7" width="45" hidden="0" customWidth="1"/>
  </x:cols>
  <x:sheetData>
    <x:row r="1" ht="30" customHeight="1">
      <x:c r="A1" s="5" t="str">
        <x:v>FEATURE INVENTORY</x:v>
      </x:c>
      <x:c r="B1" s="5"/>
      <x:c r="C1" s="5"/>
      <x:c r="D1" s="5"/>
      <x:c r="E1" s="5"/>
      <x:c r="F1" s="5"/>
      <x:c r="G1" s="5"/>
    </x:row>
    <x:row r="2" ht="34" customHeight="1">
      <x:c r="A2" s="13" t="str">
        <x:v>Danh sách tính năng có bằng chứng trong outerHTML và mức độ sẵn sàng để tự động hóa.</x:v>
      </x:c>
      <x:c r="B2" s="13"/>
      <x:c r="C2" s="13"/>
      <x:c r="D2" s="13"/>
      <x:c r="E2" s="13"/>
      <x:c r="F2" s="13"/>
      <x:c r="G2" s="13"/>
    </x:row>
    <x:row r="4">
      <x:c r="A4" s="45" t="str">
        <x:v>Feature ID</x:v>
      </x:c>
      <x:c r="B4" s="45" t="str">
        <x:v>Module</x:v>
      </x:c>
      <x:c r="C4" s="45" t="str">
        <x:v>Feature</x:v>
      </x:c>
      <x:c r="D4" s="45" t="str">
        <x:v>DOM Evidence</x:v>
      </x:c>
      <x:c r="E4" s="45" t="str">
        <x:v>Current DOM State</x:v>
      </x:c>
      <x:c r="F4" s="45" t="str">
        <x:v>Automation Feasibility</x:v>
      </x:c>
      <x:c r="G4" s="45" t="str">
        <x:v>Notes</x:v>
      </x:c>
    </x:row>
    <x:row r="5">
      <x:c r="A5" s="50" t="str">
        <x:v>F-001</x:v>
      </x:c>
      <x:c r="B5" s="50" t="str">
        <x:v>Dashboard Load &amp; Session</x:v>
      </x:c>
      <x:c r="C5" s="50" t="str">
        <x:v>Nhận diện và tải Dashboard</x:v>
      </x:c>
      <x:c r="D5" s="50" t="str">
        <x:v>breadcrumb Dashboard; heading Thống Kê Tổng Quan; menu Dashboard active</x:v>
      </x:c>
      <x:c r="E5" s="50" t="str">
        <x:v>Hiển thị</x:v>
      </x:c>
      <x:c r="F5" s="50" t="str">
        <x:v>Automate</x:v>
      </x:c>
      <x:c r="G5" s="50" t="str">
        <x:v>Ưu tiên URL/heading/menu active, không dùng __NEXT_DATA__.</x:v>
      </x:c>
    </x:row>
    <x:row r="6">
      <x:c r="A6" s="50" t="str">
        <x:v>F-002</x:v>
      </x:c>
      <x:c r="B6" s="50" t="str">
        <x:v>Dashboard Load &amp; Session</x:v>
      </x:c>
      <x:c r="C6" s="50" t="str">
        <x:v>Session đăng nhập trên Dashboard</x:v>
      </x:c>
      <x:c r="D6" s="50" t="str">
        <x:v>Header hiển thị tài khoản; nút Đăng xuất</x:v>
      </x:c>
      <x:c r="E6" s="50" t="str">
        <x:v>Đã đăng nhập</x:v>
      </x:c>
      <x:c r="F6" s="50" t="str">
        <x:v>Automate</x:v>
      </x:c>
      <x:c r="G6" s="50" t="str">
        <x:v>Cần kiểm tra không reload/logout ngoài mong đợi.</x:v>
      </x:c>
    </x:row>
    <x:row r="7">
      <x:c r="A7" s="50" t="str">
        <x:v>F-003</x:v>
      </x:c>
      <x:c r="B7" s="50" t="str">
        <x:v>Header &amp; Common Widgets</x:v>
      </x:c>
      <x:c r="C7" s="50" t="str">
        <x:v>Thông tin tài khoản và đăng xuất</x:v>
      </x:c>
      <x:c r="D7" s="50" t="str">
        <x:v>Tên tài khoản, môi trường/vai trò, button title='Đăng xuất'</x:v>
      </x:c>
      <x:c r="E7" s="50" t="str">
        <x:v>Hiển thị</x:v>
      </x:c>
      <x:c r="F7" s="50" t="str">
        <x:v>Automate</x:v>
      </x:c>
      <x:c r="G7" s="50" t="str"/>
    </x:row>
    <x:row r="8">
      <x:c r="A8" s="50" t="str">
        <x:v>F-004</x:v>
      </x:c>
      <x:c r="B8" s="50" t="str">
        <x:v>Header &amp; Common Widgets</x:v>
      </x:c>
      <x:c r="C8" s="50" t="str">
        <x:v>Tin tức nổi bật và link giao dịch</x:v>
      </x:c>
      <x:c r="D8" s="50" t="str">
        <x:v>Tin tức nổi bật; href='/vuatho/transaction'</x:v>
      </x:c>
      <x:c r="E8" s="50" t="str">
        <x:v>Marquee có clone lặp</x:v>
      </x:c>
      <x:c r="F8" s="50" t="str">
        <x:v>Automate</x:v>
      </x:c>
      <x:c r="G8" s="50" t="str">
        <x:v>Loại trùng theo text+href.</x:v>
      </x:c>
    </x:row>
    <x:row r="9">
      <x:c r="A9" s="50" t="str">
        <x:v>F-005</x:v>
      </x:c>
      <x:c r="B9" s="50" t="str">
        <x:v>Header &amp; Common Widgets</x:v>
      </x:c>
      <x:c r="C9" s="50" t="str">
        <x:v>Widget tổng đài nổi</x:v>
      </x:c>
      <x:c r="D9" s="50" t="str">
        <x:v>button aria-label='Mở tổng đài'; badge; draggable</x:v>
      </x:c>
      <x:c r="E9" s="50" t="str">
        <x:v>Đóng</x:v>
      </x:c>
      <x:c r="F9" s="50" t="str">
        <x:v>Need more DOM</x:v>
      </x:c>
      <x:c r="G9" s="50" t="str">
        <x:v>Cần outerHTML khi mở tổng đài.</x:v>
      </x:c>
    </x:row>
    <x:row r="10">
      <x:c r="A10" s="50" t="str">
        <x:v>F-006</x:v>
      </x:c>
      <x:c r="B10" s="50" t="str">
        <x:v>Sidebar &amp; Menu</x:v>
      </x:c>
      <x:c r="C10" s="50" t="str">
        <x:v>Nhóm hệ thống</x:v>
      </x:c>
      <x:c r="D10" s="50" t="str">
        <x:v>Vua Thợ, Operation, Đối Tác, CSKH</x:v>
      </x:c>
      <x:c r="E10" s="50" t="str">
        <x:v>Vua Thợ active</x:v>
      </x:c>
      <x:c r="F10" s="50" t="str">
        <x:v>Automate</x:v>
      </x:c>
      <x:c r="G10" s="50" t="str"/>
    </x:row>
    <x:row r="11">
      <x:c r="A11" s="50" t="str">
        <x:v>F-007</x:v>
      </x:c>
      <x:c r="B11" s="50" t="str">
        <x:v>Sidebar &amp; Menu</x:v>
      </x:c>
      <x:c r="C11" s="50" t="str">
        <x:v>Thu gọn/mở rộng sidebar</x:v>
      </x:c>
      <x:c r="D11" s="50" t="str">
        <x:v>Button icon mũi tên ở sidebar</x:v>
      </x:c>
      <x:c r="E11" s="50" t="str">
        <x:v>Mở rộng</x:v>
      </x:c>
      <x:c r="F11" s="50" t="str">
        <x:v>Automate</x:v>
      </x:c>
      <x:c r="G11" s="50" t="str">
        <x:v>Nên thêm data-testid cho nút.</x:v>
      </x:c>
    </x:row>
    <x:row r="12">
      <x:c r="A12" s="50" t="str">
        <x:v>F-008</x:v>
      </x:c>
      <x:c r="B12" s="50" t="str">
        <x:v>Sidebar &amp; Menu</x:v>
      </x:c>
      <x:c r="C12" s="50" t="str">
        <x:v>Accordion menu cha</x:v>
      </x:c>
      <x:c r="D12" s="50" t="str">
        <x:v>Người Dùng, Đối Tác - Thợ, Đơn Dịch Vụ, Đồng Phục, Giao Dịch, Website, App, System, Marketing</x:v>
      </x:c>
      <x:c r="E12" s="50" t="str">
        <x:v>Một số mở, một số đóng</x:v>
      </x:c>
      <x:c r="F12" s="50" t="str">
        <x:v>Automate</x:v>
      </x:c>
      <x:c r="G12" s="50" t="str">
        <x:v>Submenu của menu đóng cần xác nhận live DOM.</x:v>
      </x:c>
    </x:row>
    <x:row r="13">
      <x:c r="A13" s="50" t="str">
        <x:v>F-009</x:v>
      </x:c>
      <x:c r="B13" s="50" t="str">
        <x:v>Sidebar &amp; Menu</x:v>
      </x:c>
      <x:c r="C13" s="50" t="str">
        <x:v>Điều hướng menu Vua Thợ</x:v>
      </x:c>
      <x:c r="D13" s="50" t="str">
        <x:v>16 href menu/submenu</x:v>
      </x:c>
      <x:c r="E13" s="50" t="str">
        <x:v>Các link có trong DOM</x:v>
      </x:c>
      <x:c r="F13" s="50" t="str">
        <x:v>Automate</x:v>
      </x:c>
      <x:c r="G13" s="50" t="str">
        <x:v>Chỉ kiểm tra load/navigation, không suy đoán chức năng trang đích.</x:v>
      </x:c>
    </x:row>
    <x:row r="14">
      <x:c r="A14" s="50" t="str">
        <x:v>F-010</x:v>
      </x:c>
      <x:c r="B14" s="50" t="str">
        <x:v>Overview Cards &amp; Drawer</x:v>
      </x:c>
      <x:c r="C14" s="50" t="str">
        <x:v>6 card Thống Kê Tổng Quan</x:v>
      </x:c>
      <x:c r="D14" s="50" t="str">
        <x:v>Đơn dịch vụ, người dùng, thợ, nghiệp vụ, ngành nghề, nền tảng</x:v>
      </x:c>
      <x:c r="E14" s="50" t="str">
        <x:v>Hiển thị</x:v>
      </x:c>
      <x:c r="F14" s="50" t="str">
        <x:v>Automate</x:v>
      </x:c>
      <x:c r="G14" s="50" t="str">
        <x:v>Giá trị động, không hard-code.</x:v>
      </x:c>
    </x:row>
    <x:row r="15">
      <x:c r="A15" s="50" t="str">
        <x:v>F-011</x:v>
      </x:c>
      <x:c r="B15" s="50" t="str">
        <x:v>Overview Cards &amp; Drawer</x:v>
      </x:c>
      <x:c r="C15" s="50" t="str">
        <x:v>Tỷ lệ KYC người dùng/thợ</x:v>
      </x:c>
      <x:c r="D15" s="50" t="str">
        <x:v>Đã KYC và % trong 2 card</x:v>
      </x:c>
      <x:c r="E15" s="50" t="str">
        <x:v>Hiển thị</x:v>
      </x:c>
      <x:c r="F15" s="50" t="str">
        <x:v>Automate</x:v>
      </x:c>
      <x:c r="G15" s="50" t="str">
        <x:v>Tính lại từ KYC/Total.</x:v>
      </x:c>
    </x:row>
    <x:row r="16">
      <x:c r="A16" s="50" t="str">
        <x:v>F-012</x:v>
      </x:c>
      <x:c r="B16" s="50" t="str">
        <x:v>Overview Cards &amp; Drawer</x:v>
      </x:c>
      <x:c r="C16" s="50" t="str">
        <x:v>Drawer chi tiết card</x:v>
      </x:c>
      <x:c r="D16" s="50" t="str">
        <x:v>drawer-; overlay; Hủy; Xác nhận</x:v>
      </x:c>
      <x:c r="E16" s="50" t="str">
        <x:v>Đóng, nội dung trống</x:v>
      </x:c>
      <x:c r="F16" s="50" t="str">
        <x:v>Need more DOM</x:v>
      </x:c>
      <x:c r="G16" s="50" t="str">
        <x:v>Cần snapshot sau khi mở card.</x:v>
      </x:c>
    </x:row>
    <x:row r="17">
      <x:c r="A17" s="50" t="str">
        <x:v>F-013</x:v>
      </x:c>
      <x:c r="B17" s="50" t="str">
        <x:v>Global Coverage Card</x:v>
      </x:c>
      <x:c r="C17" s="50" t="str">
        <x:v>Vua Thợ Trên Toàn Cầu</x:v>
      </x:c>
      <x:c r="D17" s="50" t="str">
        <x:v>Heading, ảnh alt='map', số quốc gia</x:v>
      </x:c>
      <x:c r="E17" s="50" t="str">
        <x:v>Hiển thị</x:v>
      </x:c>
      <x:c r="F17" s="50" t="str">
        <x:v>Automate</x:v>
      </x:c>
      <x:c r="G17" s="50" t="str">
        <x:v>Hành vi click cần nghiệp vụ.</x:v>
      </x:c>
    </x:row>
    <x:row r="18">
      <x:c r="A18" s="50" t="str">
        <x:v>F-014</x:v>
      </x:c>
      <x:c r="B18" s="50" t="str">
        <x:v>User Statistics</x:v>
      </x:c>
      <x:c r="C18" s="50" t="str">
        <x:v>Bộ lọc kỳ người dùng</x:v>
      </x:c>
      <x:c r="D18" s="50" t="str">
        <x:v>Ngày, Tuần, Tháng, Quý, Năm</x:v>
      </x:c>
      <x:c r="E18" s="50" t="str">
        <x:v>Tháng active</x:v>
      </x:c>
      <x:c r="F18" s="50" t="str">
        <x:v>Automate</x:v>
      </x:c>
      <x:c r="G18" s="50" t="str">
        <x:v>Scope theo section người dùng.</x:v>
      </x:c>
    </x:row>
    <x:row r="19">
      <x:c r="A19" s="50" t="str">
        <x:v>F-015</x:v>
      </x:c>
      <x:c r="B19" s="50" t="str">
        <x:v>User Statistics</x:v>
      </x:c>
      <x:c r="C19" s="50" t="str">
        <x:v>Custom date người dùng</x:v>
      </x:c>
      <x:c r="D19" s="50" t="str">
        <x:v>Switch Tùy chỉnh</x:v>
      </x:c>
      <x:c r="E19" s="50" t="str">
        <x:v>Tắt; date picker chưa render</x:v>
      </x:c>
      <x:c r="F19" s="50" t="str">
        <x:v>Need more DOM</x:v>
      </x:c>
      <x:c r="G19" s="50" t="str">
        <x:v>Cần outerHTML khi bật.</x:v>
      </x:c>
    </x:row>
    <x:row r="20">
      <x:c r="A20" s="50" t="str">
        <x:v>F-016</x:v>
      </x:c>
      <x:c r="B20" s="50" t="str">
        <x:v>User Statistics</x:v>
      </x:c>
      <x:c r="C20" s="50" t="str">
        <x:v>Xuất Excel người dùng</x:v>
      </x:c>
      <x:c r="D20" s="50" t="str">
        <x:v>Button Xuất Excel</x:v>
      </x:c>
      <x:c r="E20" s="50" t="str">
        <x:v>Hiển thị</x:v>
      </x:c>
      <x:c r="F20" s="50" t="str">
        <x:v>Automate</x:v>
      </x:c>
      <x:c r="G20" s="50" t="str">
        <x:v>Dùng Apache POI để kiểm tra nội dung.</x:v>
      </x:c>
    </x:row>
    <x:row r="21">
      <x:c r="A21" s="50" t="str">
        <x:v>F-017</x:v>
      </x:c>
      <x:c r="B21" s="50" t="str">
        <x:v>User Statistics</x:v>
      </x:c>
      <x:c r="C21" s="50" t="str">
        <x:v>Biểu đồ người dùng/thợ</x:v>
      </x:c>
      <x:c r="D21" s="50" t="str">
        <x:v>Recharts SVG, trục ngày/số</x:v>
      </x:c>
      <x:c r="E21" s="50" t="str">
        <x:v>Hiển thị</x:v>
      </x:c>
      <x:c r="F21" s="50" t="str">
        <x:v>Automate</x:v>
      </x:c>
      <x:c r="G21" s="50" t="str">
        <x:v>Không dùng ID Recharts.</x:v>
      </x:c>
    </x:row>
    <x:row r="22">
      <x:c r="A22" s="50" t="str">
        <x:v>F-018</x:v>
      </x:c>
      <x:c r="B22" s="50" t="str">
        <x:v>User Statistics</x:v>
      </x:c>
      <x:c r="C22" s="50" t="str">
        <x:v>Bảng so sánh kỳ hiện tại/kỳ trước</x:v>
      </x:c>
      <x:c r="D22" s="50" t="str">
        <x:v>Hiện tại, Kỳ trước, So sánh; 4 chỉ số</x:v>
      </x:c>
      <x:c r="E22" s="50" t="str">
        <x:v>Hiển thị</x:v>
      </x:c>
      <x:c r="F22" s="50" t="str">
        <x:v>Automate</x:v>
      </x:c>
      <x:c r="G22" s="50" t="str">
        <x:v>Kiểm tra công thức và hướng tăng/giảm.</x:v>
      </x:c>
    </x:row>
    <x:row r="23">
      <x:c r="A23" s="50" t="str">
        <x:v>F-019</x:v>
      </x:c>
      <x:c r="B23" s="50" t="str">
        <x:v>Industry Statistics</x:v>
      </x:c>
      <x:c r="C23" s="50" t="str">
        <x:v>Bộ lọc kỳ ngành nghề</x:v>
      </x:c>
      <x:c r="D23" s="50" t="str">
        <x:v>Ngày, Tuần, Tháng, Quý, Năm, Tất cả</x:v>
      </x:c>
      <x:c r="E23" s="50" t="str">
        <x:v>Tháng active</x:v>
      </x:c>
      <x:c r="F23" s="50" t="str">
        <x:v>Automate</x:v>
      </x:c>
      <x:c r="G23" s="50" t="str">
        <x:v>Độc lập với section người dùng.</x:v>
      </x:c>
    </x:row>
    <x:row r="24">
      <x:c r="A24" s="50" t="str">
        <x:v>F-020</x:v>
      </x:c>
      <x:c r="B24" s="50" t="str">
        <x:v>Industry Statistics</x:v>
      </x:c>
      <x:c r="C24" s="50" t="str">
        <x:v>Custom date ngành nghề</x:v>
      </x:c>
      <x:c r="D24" s="50" t="str">
        <x:v>Switch Tùy chỉnh</x:v>
      </x:c>
      <x:c r="E24" s="50" t="str">
        <x:v>Tắt; date picker chưa render</x:v>
      </x:c>
      <x:c r="F24" s="50" t="str">
        <x:v>Need more DOM</x:v>
      </x:c>
      <x:c r="G24" s="50" t="str">
        <x:v>Cần outerHTML khi bật.</x:v>
      </x:c>
    </x:row>
    <x:row r="25">
      <x:c r="A25" s="50" t="str">
        <x:v>F-021</x:v>
      </x:c>
      <x:c r="B25" s="50" t="str">
        <x:v>Industry Statistics</x:v>
      </x:c>
      <x:c r="C25" s="50" t="str">
        <x:v>Card số lượt ĐK Thợ chính</x:v>
      </x:c>
      <x:c r="D25" s="50" t="str">
        <x:v>Heading, khoảng ngày, giá trị</x:v>
      </x:c>
      <x:c r="E25" s="50" t="str">
        <x:v>Hiển thị</x:v>
      </x:c>
      <x:c r="F25" s="50" t="str">
        <x:v>Automate</x:v>
      </x:c>
      <x:c r="G25" s="50" t="str"/>
    </x:row>
    <x:row r="26">
      <x:c r="A26" s="50" t="str">
        <x:v>F-022</x:v>
      </x:c>
      <x:c r="B26" s="50" t="str">
        <x:v>Industry Statistics</x:v>
      </x:c>
      <x:c r="C26" s="50" t="str">
        <x:v>Card số lượt ĐK Thợ phụ</x:v>
      </x:c>
      <x:c r="D26" s="50" t="str">
        <x:v>Heading, Từ trước đến nay, giá trị</x:v>
      </x:c>
      <x:c r="E26" s="50" t="str">
        <x:v>Hiển thị</x:v>
      </x:c>
      <x:c r="F26" s="50" t="str">
        <x:v>Automate</x:v>
      </x:c>
      <x:c r="G26" s="50" t="str">
        <x:v>Phạm vi khi đổi kỳ cần nghiệp vụ.</x:v>
      </x:c>
    </x:row>
    <x:row r="27">
      <x:c r="A27" s="50" t="str">
        <x:v>F-023</x:v>
      </x:c>
      <x:c r="B27" s="50" t="str">
        <x:v>Industry Statistics</x:v>
      </x:c>
      <x:c r="C27" s="50" t="str">
        <x:v>Ranking ngành nghề</x:v>
      </x:c>
      <x:c r="D27" s="50" t="str">
        <x:v>Rank, tên, % thị phần, Trong kỳ, Tổng cộng</x:v>
      </x:c>
      <x:c r="E27" s="50" t="str">
        <x:v>4 item hiển thị</x:v>
      </x:c>
      <x:c r="F27" s="50" t="str">
        <x:v>Automate</x:v>
      </x:c>
      <x:c r="G27" s="50" t="str">
        <x:v>Không hard-code tên/số.</x:v>
      </x:c>
    </x:row>
    <x:row r="28">
      <x:c r="A28" s="50" t="str">
        <x:v>F-024</x:v>
      </x:c>
      <x:c r="B28" s="50" t="str">
        <x:v>Industry Statistics</x:v>
      </x:c>
      <x:c r="C28" s="50" t="str">
        <x:v>Switch biểu đồ ngành nghề</x:v>
      </x:c>
      <x:c r="D28" s="50" t="str">
        <x:v>Switch Biểu đồ; thông báo tối ưu hiệu năng</x:v>
      </x:c>
      <x:c r="E28" s="50" t="str">
        <x:v>Tắt</x:v>
      </x:c>
      <x:c r="F28" s="50" t="str">
        <x:v>Need more DOM</x:v>
      </x:c>
      <x:c r="G28" s="50" t="str">
        <x:v>Cần outerHTML sau khi bật chart.</x:v>
      </x:c>
    </x:row>
    <x:row r="29">
      <x:c r="A29" s="50" t="str">
        <x:v>F-025</x:v>
      </x:c>
      <x:c r="B29" s="50" t="str">
        <x:v>Common UI, Accessibility &amp; Recovery</x:v>
      </x:c>
      <x:c r="C29" s="50" t="str">
        <x:v>Responsive layout</x:v>
      </x:c>
      <x:c r="D29" s="50" t="str">
        <x:v>Tailwind responsive classes desktop/tablet/mobile</x:v>
      </x:c>
      <x:c r="E29" s="50" t="str">
        <x:v>Snapshot desktop</x:v>
      </x:c>
      <x:c r="F29" s="50" t="str">
        <x:v>Automate</x:v>
      </x:c>
      <x:c r="G29" s="50" t="str">
        <x:v>Xác nhận phạm vi mobile với sản phẩm.</x:v>
      </x:c>
    </x:row>
    <x:row r="30">
      <x:c r="A30" s="50" t="str">
        <x:v>F-026</x:v>
      </x:c>
      <x:c r="B30" s="50" t="str">
        <x:v>Common UI, Accessibility &amp; Recovery</x:v>
      </x:c>
      <x:c r="C30" s="50" t="str">
        <x:v>Keyboard/accessibility</x:v>
      </x:c>
      <x:c r="D30" s="50" t="str">
        <x:v>button/link/switch; role/aria rải rác</x:v>
      </x:c>
      <x:c r="E30" s="50" t="str">
        <x:v>Một số accessible name là ID động</x:v>
      </x:c>
      <x:c r="F30" s="50" t="str">
        <x:v>Automate</x:v>
      </x:c>
      <x:c r="G30" s="50" t="str">
        <x:v>Nên thêm data-testid/aria-label ổn định.</x:v>
      </x:c>
    </x:row>
    <x:row r="31">
      <x:c r="A31" s="50" t="str">
        <x:v>F-027</x:v>
      </x:c>
      <x:c r="B31" s="50" t="str">
        <x:v>Common UI, Accessibility &amp; Recovery</x:v>
      </x:c>
      <x:c r="C31" s="50" t="str">
        <x:v>Xử lý API lỗi/chậm/mất mạng</x:v>
      </x:c>
      <x:c r="D31" s="50" t="str">
        <x:v>Các section phụ thuộc dữ liệu động</x:v>
      </x:c>
      <x:c r="E31" s="50" t="str">
        <x:v>Không thể hiện trong snapshot</x:v>
      </x:c>
      <x:c r="F31" s="50" t="str">
        <x:v>Need API/Database</x:v>
      </x:c>
      <x:c r="G31" s="50" t="str">
        <x:v>Dùng mock/network interception.</x:v>
      </x:c>
    </x:row>
    <x:row r="32">
      <x:c r="A32" s="50" t="str">
        <x:v>F-028</x:v>
      </x:c>
      <x:c r="B32" s="50" t="str">
        <x:v>Common UI, Accessibility &amp; Recovery</x:v>
      </x:c>
      <x:c r="C32" s="50" t="str">
        <x:v>Lifecycle TestNG và browser</x:v>
      </x:c>
      <x:c r="D32" s="50" t="str">
        <x:v>Không nằm trong HTML, liên quan automation suite</x:v>
      </x:c>
      <x:c r="E32" s="50" t="str">
        <x:v>Cần kiểm tra source project</x:v>
      </x:c>
      <x:c r="F32" s="50" t="str">
        <x:v>Automate</x:v>
      </x:c>
      <x:c r="G32" s="50" t="str">
        <x:v>Không đóng browser trước khi suite chạy hết.</x:v>
      </x:c>
    </x:row>
  </x:sheetData>
  <x:mergeCells>
    <x:mergeCell ref="A1:G1"/>
    <x:mergeCell ref="A2:G2"/>
  </x:mergeCells>
  <x:dataValidations count="1">
    <x:dataValidation type="list" sqref="F5:F32">
      <x:formula1>"Automate,Need more DOM,Need API/Database,Need business requirement,Need API/Network simulation,Manual"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7034b245f143c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42" hidden="0" customWidth="1"/>
    <x:col min="4" max="4" width="38" hidden="0" customWidth="1"/>
    <x:col min="5" max="5" width="55" hidden="0" customWidth="1"/>
    <x:col min="6" max="6" width="55" hidden="0" customWidth="1"/>
    <x:col min="7" max="7" width="11" hidden="0" customWidth="1"/>
    <x:col min="8" max="8" width="9" hidden="0" customWidth="1"/>
    <x:col min="9" max="9" width="18" hidden="0" customWidth="1"/>
    <x:col min="10" max="10" width="24" hidden="0" customWidth="1"/>
    <x:col min="11" max="11" width="38" hidden="0" customWidth="1"/>
    <x:col min="12" max="12" width="12" hidden="0" customWidth="1"/>
    <x:col min="13" max="13" width="16" hidden="0" customWidth="1"/>
    <x:col min="14" max="14" width="36" hidden="0" customWidth="1"/>
  </x:cols>
  <x:sheetData>
    <x:row r="1" ht="30" customHeight="1">
      <x:c r="A1" s="5" t="str">
        <x:v>ALL DASHBOARD TEST CASES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3" t="str">
        <x:v>Tổng cộng 222 testcase. Nội dung tiếng Việt; tiêu đề cột tiếng Anh; Status mặc định Not Run.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2" customHeight="1">
      <x:c r="A4" s="45" t="str">
        <x:v>Test Case ID</x:v>
      </x:c>
      <x:c r="B4" s="45" t="str">
        <x:v>Module</x:v>
      </x:c>
      <x:c r="C4" s="45" t="str">
        <x:v>Test Scenario</x:v>
      </x:c>
      <x:c r="D4" s="45" t="str">
        <x:v>Precondition</x:v>
      </x:c>
      <x:c r="E4" s="45" t="str">
        <x:v>Test Steps</x:v>
      </x:c>
      <x:c r="F4" s="45" t="str">
        <x:v>Expected Result</x:v>
      </x:c>
      <x:c r="G4" s="45" t="str">
        <x:v>Severity</x:v>
      </x:c>
      <x:c r="H4" s="45" t="str">
        <x:v>Priority</x:v>
      </x:c>
      <x:c r="I4" s="45" t="str">
        <x:v>Test Type</x:v>
      </x:c>
      <x:c r="J4" s="45" t="str">
        <x:v>Automation Feasibility</x:v>
      </x:c>
      <x:c r="K4" s="45" t="str">
        <x:v>Actual Result</x:v>
      </x:c>
      <x:c r="L4" s="45" t="str">
        <x:v>Status</x:v>
      </x:c>
      <x:c r="M4" s="45" t="str">
        <x:v>Tester</x:v>
      </x:c>
      <x:c r="N4" s="45" t="str">
        <x:v>Notes / DOM Evidence</x:v>
      </x:c>
    </x:row>
    <x:row r="5" ht="72" customHeight="1">
      <x:c r="A5" s="50" t="str">
        <x:v>DLS-001</x:v>
      </x:c>
      <x:c r="B5" s="50" t="str">
        <x:v>Dashboard Load &amp; Session</x:v>
      </x:c>
      <x:c r="C5" s="50" t="str">
        <x:v>Mở Dashboard thành công</x:v>
      </x:c>
      <x:c r="D5" s="50" t="str">
        <x:v>Có tài khoản hợp lệ; đã đăng nhập CMS; nhóm Vua Thợ được phép truy cập.</x:v>
      </x:c>
      <x:c r="E5" s="50" t="str">
        <x:v>1. Truy cập đường dẫn Dashboard.
2. Chờ trang hoàn tất tải.
3. Quan sát URL, breadcrumb, menu active và nội dung chính.</x:v>
      </x:c>
      <x:c r="F5" s="50" t="str">
        <x:v>URL đúng Dashboard; breadcrumb hiển thị “Dashboard”; menu Dashboard active; nội dung chính hiển thị.</x:v>
      </x:c>
      <x:c r="G5" s="50" t="str">
        <x:v>Critical</x:v>
      </x:c>
      <x:c r="H5" s="50" t="str">
        <x:v>P0</x:v>
      </x:c>
      <x:c r="I5" s="50" t="str">
        <x:v>Functional</x:v>
      </x:c>
      <x:c r="J5" s="50" t="str">
        <x:v>Automate</x:v>
      </x:c>
      <x:c r="K5" s="50" t="str"/>
      <x:c r="L5" s="50" t="str">
        <x:v>Not Run</x:v>
      </x:c>
      <x:c r="M5" s="50" t="str"/>
      <x:c r="N5" s="50" t="str"/>
    </x:row>
    <x:row r="6" ht="72" customHeight="1">
      <x:c r="A6" s="50" t="str">
        <x:v>DLS-002</x:v>
      </x:c>
      <x:c r="B6" s="50" t="str">
        <x:v>Dashboard Load &amp; Session</x:v>
      </x:c>
      <x:c r="C6" s="50" t="str">
        <x:v>Không xuất hiện trang trắng hoặc lỗi hệ thống</x:v>
      </x:c>
      <x:c r="D6" s="50" t="str">
        <x:v>Có tài khoản hợp lệ; đã đăng nhập CMS; nhóm Vua Thợ được phép truy cập. Đang ở trang Dashboard.</x:v>
      </x:c>
      <x:c r="E6" s="50" t="str">
        <x:v>1. Tải lại Dashboard.
2. Kiểm tra vùng main content.
3. Tìm các thông báo 404, 500, Page Not Found, Internal Server Error.</x:v>
      </x:c>
      <x:c r="F6" s="50" t="str">
        <x:v>Main content không trống; không xuất hiện thông báo lỗi 404/500 hoặc lỗi hệ thống.</x:v>
      </x:c>
      <x:c r="G6" s="50" t="str">
        <x:v>Critical</x:v>
      </x:c>
      <x:c r="H6" s="50" t="str">
        <x:v>P0</x:v>
      </x:c>
      <x:c r="I6" s="50" t="str">
        <x:v>Recovery</x:v>
      </x:c>
      <x:c r="J6" s="50" t="str">
        <x:v>Automate</x:v>
      </x:c>
      <x:c r="K6" s="50" t="str"/>
      <x:c r="L6" s="50" t="str">
        <x:v>Not Run</x:v>
      </x:c>
      <x:c r="M6" s="50" t="str"/>
      <x:c r="N6" s="50" t="str"/>
    </x:row>
    <x:row r="7" ht="72" customHeight="1">
      <x:c r="A7" s="50" t="str">
        <x:v>DLS-003</x:v>
      </x:c>
      <x:c r="B7" s="50" t="str">
        <x:v>Dashboard Load &amp; Session</x:v>
      </x:c>
      <x:c r="C7" s="50" t="str">
        <x:v>Hiển thị đầy đủ các section chính</x:v>
      </x:c>
      <x:c r="D7" s="50" t="str">
        <x:v>Có tài khoản hợp lệ; đã đăng nhập CMS; nhóm Vua Thợ được phép truy cập. Đang ở trang Dashboard.</x:v>
      </x:c>
      <x:c r="E7" s="50" t="str">
        <x:v>1. Mở Dashboard.
2. Kiểm tra lần lượt các section: Thống Kê Tổng Quan, Vua Thợ Trên Toàn Cầu, Danh Sách Người Dùng, Danh Sách Ngành Nghề.</x:v>
      </x:c>
      <x:c r="F7" s="50" t="str">
        <x:v>Cả 4 section hiển thị và không chồng lấn.</x:v>
      </x:c>
      <x:c r="G7" s="50" t="str">
        <x:v>High</x:v>
      </x:c>
      <x:c r="H7" s="50" t="str">
        <x:v>P1</x:v>
      </x:c>
      <x:c r="I7" s="50" t="str">
        <x:v>UI</x:v>
      </x:c>
      <x:c r="J7" s="50" t="str">
        <x:v>Automate</x:v>
      </x:c>
      <x:c r="K7" s="50" t="str"/>
      <x:c r="L7" s="50" t="str">
        <x:v>Not Run</x:v>
      </x:c>
      <x:c r="M7" s="50" t="str"/>
      <x:c r="N7" s="50" t="str"/>
    </x:row>
    <x:row r="8" ht="72" customHeight="1">
      <x:c r="A8" s="50" t="str">
        <x:v>DLS-004</x:v>
      </x:c>
      <x:c r="B8" s="50" t="str">
        <x:v>Dashboard Load &amp; Session</x:v>
      </x:c>
      <x:c r="C8" s="50" t="str">
        <x:v>Không loading vô hạn</x:v>
      </x:c>
      <x:c r="D8" s="50" t="str">
        <x:v>Có tài khoản hợp lệ; đã đăng nhập CMS; nhóm Vua Thợ được phép truy cập. Đang ở trang Dashboard.</x:v>
      </x:c>
      <x:c r="E8" s="50" t="str">
        <x:v>1. Mở Dashboard khi mạng bình thường.
2. Chờ đến timeout cấu hình.
3. Theo dõi loading indicator và khả năng tương tác.</x:v>
      </x:c>
      <x:c r="F8" s="50" t="str">
        <x:v>Loading kết thúc trong timeout; các control chính có thể thao tác.</x:v>
      </x:c>
      <x:c r="G8" s="50" t="str">
        <x:v>High</x:v>
      </x:c>
      <x:c r="H8" s="50" t="str">
        <x:v>P1</x:v>
      </x:c>
      <x:c r="I8" s="50" t="str">
        <x:v>Recovery</x:v>
      </x:c>
      <x:c r="J8" s="50" t="str">
        <x:v>Automate</x:v>
      </x:c>
      <x:c r="K8" s="50" t="str"/>
      <x:c r="L8" s="50" t="str">
        <x:v>Not Run</x:v>
      </x:c>
      <x:c r="M8" s="50" t="str"/>
      <x:c r="N8" s="50" t="str"/>
    </x:row>
    <x:row r="9" ht="72" customHeight="1">
      <x:c r="A9" s="50" t="str">
        <x:v>DLS-005</x:v>
      </x:c>
      <x:c r="B9" s="50" t="str">
        <x:v>Dashboard Load &amp; Session</x:v>
      </x:c>
      <x:c r="C9" s="50" t="str">
        <x:v>Không tự reload lặp sau khi vào Dashboard</x:v>
      </x:c>
      <x:c r="D9" s="50" t="str">
        <x:v>Có tài khoản hợp lệ; đã đăng nhập CMS; nhóm Vua Thợ được phép truy cập. Đang ở trang Dashboard.</x:v>
      </x:c>
      <x:c r="E9" s="50" t="str">
        <x:v>1. Ghi nhận URL và navigation timing sau khi trang ổn định.
2. Theo dõi trang trong khoảng quan sát cấu hình.
3. Kiểm tra số lần navigation/reload.</x:v>
      </x:c>
      <x:c r="F9" s="50" t="str">
        <x:v>Trang không tự reload nhiều lần; URL và trạng thái UI ổn định.</x:v>
      </x:c>
      <x:c r="G9" s="50" t="str">
        <x:v>Critical</x:v>
      </x:c>
      <x:c r="H9" s="50" t="str">
        <x:v>P0</x:v>
      </x:c>
      <x:c r="I9" s="50" t="str">
        <x:v>Session</x:v>
      </x:c>
      <x:c r="J9" s="50" t="str">
        <x:v>Automate</x:v>
      </x:c>
      <x:c r="K9" s="50" t="str"/>
      <x:c r="L9" s="50" t="str">
        <x:v>Not Run</x:v>
      </x:c>
      <x:c r="M9" s="50" t="str"/>
      <x:c r="N9" s="50" t="str"/>
    </x:row>
    <x:row r="10" ht="72" customHeight="1">
      <x:c r="A10" s="50" t="str">
        <x:v>DLS-006</x:v>
      </x:c>
      <x:c r="B10" s="50" t="str">
        <x:v>Dashboard Load &amp; Session</x:v>
      </x:c>
      <x:c r="C10" s="50" t="str">
        <x:v>Không tự logout khi đang sử dụng Dashboard</x:v>
      </x:c>
      <x:c r="D10" s="50" t="str">
        <x:v>Có tài khoản hợp lệ; đã đăng nhập CMS; nhóm Vua Thợ được phép truy cập. Đang ở trang Dashboard.</x:v>
      </x:c>
      <x:c r="E10" s="50" t="str">
        <x:v>1. Để trang mở trong khoảng quan sát cấu hình.
2. Thực hiện đổi bộ lọc thời gian và cuộn trang.
3. Kiểm tra session và URL.</x:v>
      </x:c>
      <x:c r="F10" s="50" t="str">
        <x:v>Không bị chuyển về trang đăng nhập khi session vẫn còn hiệu lực.</x:v>
      </x:c>
      <x:c r="G10" s="50" t="str">
        <x:v>Critical</x:v>
      </x:c>
      <x:c r="H10" s="50" t="str">
        <x:v>P0</x:v>
      </x:c>
      <x:c r="I10" s="50" t="str">
        <x:v>Session</x:v>
      </x:c>
      <x:c r="J10" s="50" t="str">
        <x:v>Automate</x:v>
      </x:c>
      <x:c r="K10" s="50" t="str"/>
      <x:c r="L10" s="50" t="str">
        <x:v>Not Run</x:v>
      </x:c>
      <x:c r="M10" s="50" t="str"/>
      <x:c r="N10" s="50" t="str"/>
    </x:row>
    <x:row r="11" ht="72" customHeight="1">
      <x:c r="A11" s="50" t="str">
        <x:v>DLS-007</x:v>
      </x:c>
      <x:c r="B11" s="50" t="str">
        <x:v>Dashboard Load &amp; Session</x:v>
      </x:c>
      <x:c r="C11" s="50" t="str">
        <x:v>Refresh thủ công vẫn giữ session</x:v>
      </x:c>
      <x:c r="D11" s="50" t="str">
        <x:v>Có tài khoản hợp lệ; đã đăng nhập CMS; nhóm Vua Thợ được phép truy cập. Đang ở trang Dashboard.</x:v>
      </x:c>
      <x:c r="E11" s="50" t="str">
        <x:v>1. Nhấn refresh trình duyệt một lần.
2. Chờ trang tải xong.
3. Kiểm tra trạng thái đăng nhập và Dashboard.</x:v>
      </x:c>
      <x:c r="F11" s="50" t="str">
        <x:v>Dashboard tải lại một lần; session còn hiệu lực; không bị login lại ngoài mong đợi.</x:v>
      </x:c>
      <x:c r="G11" s="50" t="str">
        <x:v>High</x:v>
      </x:c>
      <x:c r="H11" s="50" t="str">
        <x:v>P1</x:v>
      </x:c>
      <x:c r="I11" s="50" t="str">
        <x:v>Session</x:v>
      </x:c>
      <x:c r="J11" s="50" t="str">
        <x:v>Automate</x:v>
      </x:c>
      <x:c r="K11" s="50" t="str"/>
      <x:c r="L11" s="50" t="str">
        <x:v>Not Run</x:v>
      </x:c>
      <x:c r="M11" s="50" t="str"/>
      <x:c r="N11" s="50" t="str"/>
    </x:row>
    <x:row r="12" ht="72" customHeight="1">
      <x:c r="A12" s="50" t="str">
        <x:v>DLS-008</x:v>
      </x:c>
      <x:c r="B12" s="50" t="str">
        <x:v>Dashboard Load &amp; Session</x:v>
      </x:c>
      <x:c r="C12" s="50" t="str">
        <x:v>Điều hướng Back/Forward giữa Dashboard và menu khác</x:v>
      </x:c>
      <x:c r="D12" s="50" t="str">
        <x:v>Có tài khoản hợp lệ; đã đăng nhập CMS; nhóm Vua Thợ được phép truy cập. Đang ở trang Dashboard.</x:v>
      </x:c>
      <x:c r="E12" s="50" t="str">
        <x:v>1. Mở một menu có link.
2. Nhấn Back.
3. Nhấn Forward.</x:v>
      </x:c>
      <x:c r="F12" s="50" t="str">
        <x:v>Back quay về Dashboard đúng trạng thái; Forward quay lại trang trước; không lỗi session.</x:v>
      </x:c>
      <x:c r="G12" s="50" t="str">
        <x:v>Medium</x:v>
      </x:c>
      <x:c r="H12" s="50" t="str">
        <x:v>P2</x:v>
      </x:c>
      <x:c r="I12" s="50" t="str">
        <x:v>Navigation</x:v>
      </x:c>
      <x:c r="J12" s="50" t="str">
        <x:v>Automate</x:v>
      </x:c>
      <x:c r="K12" s="50" t="str"/>
      <x:c r="L12" s="50" t="str">
        <x:v>Not Run</x:v>
      </x:c>
      <x:c r="M12" s="50" t="str"/>
      <x:c r="N12" s="50" t="str"/>
    </x:row>
    <x:row r="13" ht="72" customHeight="1">
      <x:c r="A13" s="50" t="str">
        <x:v>DLS-009</x:v>
      </x:c>
      <x:c r="B13" s="50" t="str">
        <x:v>Dashboard Load &amp; Session</x:v>
      </x:c>
      <x:c r="C13" s="50" t="str">
        <x:v>Route, tiêu đề và nội dung trang nhất quán</x:v>
      </x:c>
      <x:c r="D13" s="50" t="str">
        <x:v>Có tài khoản hợp lệ; đã đăng nhập CMS; nhóm Vua Thợ được phép truy cập. Đang ở trang Dashboard.</x:v>
      </x:c>
      <x:c r="E13" s="50" t="str">
        <x:v>1. Đọc URL thực tế.
2. Đọc breadcrumb/heading chính.
3. Đọc document title hoặc route announcer.</x:v>
      </x:c>
      <x:c r="F13" s="50" t="str">
        <x:v>Các dấu hiệu người dùng nhìn thấy đều xác định đây là Dashboard; không bị nhận nhầm theo metadata động.</x:v>
      </x:c>
      <x:c r="G13" s="50" t="str">
        <x:v>High</x:v>
      </x:c>
      <x:c r="H13" s="50" t="str">
        <x:v>P1</x:v>
      </x:c>
      <x:c r="I13" s="50" t="str">
        <x:v>Data Integrity</x:v>
      </x:c>
      <x:c r="J13" s="50" t="str">
        <x:v>Automate</x:v>
      </x:c>
      <x:c r="K13" s="50" t="str"/>
      <x:c r="L13" s="50" t="str">
        <x:v>Not Run</x:v>
      </x:c>
      <x:c r="M13" s="50" t="str"/>
      <x:c r="N13" s="50" t="str">
        <x:v>File snapshot có __NEXT_DATA__ không nhất quán; automation phải ưu tiên URL/heading/menu active.</x:v>
      </x:c>
    </x:row>
    <x:row r="14" ht="72" customHeight="1">
      <x:c r="A14" s="50" t="str">
        <x:v>DLS-010</x:v>
      </x:c>
      <x:c r="B14" s="50" t="str">
        <x:v>Dashboard Load &amp; Session</x:v>
      </x:c>
      <x:c r="C14" s="50" t="str">
        <x:v>Chỉ thao tác với sidebar đang hiển thị khi DOM bị lặp</x:v>
      </x:c>
      <x:c r="D14" s="50" t="str">
        <x:v>Có tài khoản hợp lệ; đã đăng nhập CMS; nhóm Vua Thợ được phép truy cập. Đang ở trang Dashboard.</x:v>
      </x:c>
      <x:c r="E14" s="50" t="str">
        <x:v>1. Tìm tất cả sidebar có aria-label='menu'.
2. Lọc phần tử displayed và có kích thước &gt; 0.
3. Thực hiện click Dashboard trên sidebar hiển thị.</x:v>
      </x:c>
      <x:c r="F14" s="50" t="str">
        <x:v>Chỉ một sidebar hiển thị được dùng; không click phần tử ẩn/trùng.</x:v>
      </x:c>
      <x:c r="G14" s="50" t="str">
        <x:v>High</x:v>
      </x:c>
      <x:c r="H14" s="50" t="str">
        <x:v>P1</x:v>
      </x:c>
      <x:c r="I14" s="50" t="str">
        <x:v>Functional</x:v>
      </x:c>
      <x:c r="J14" s="50" t="str">
        <x:v>Automate</x:v>
      </x:c>
      <x:c r="K14" s="50" t="str"/>
      <x:c r="L14" s="50" t="str">
        <x:v>Not Run</x:v>
      </x:c>
      <x:c r="M14" s="50" t="str"/>
      <x:c r="N14" s="50" t="str">
        <x:v>OuterHTML có sidebar lặp.</x:v>
      </x:c>
    </x:row>
    <x:row r="15" ht="72" customHeight="1">
      <x:c r="A15" s="50" t="str">
        <x:v>DLS-011</x:v>
      </x:c>
      <x:c r="B15" s="50" t="str">
        <x:v>Dashboard Load &amp; Session</x:v>
      </x:c>
      <x:c r="C15" s="50" t="str">
        <x:v>Trang ổn định khi API phản hồi chậm</x:v>
      </x:c>
      <x:c r="D15" s="50" t="str">
        <x:v>Có tài khoản hợp lệ; đã đăng nhập CMS; nhóm Vua Thợ được phép truy cập. Đang ở trang Dashboard.</x:v>
      </x:c>
      <x:c r="E15" s="50" t="str">
        <x:v>1. Mô phỏng network chậm.
2. Mở Dashboard.
3. Theo dõi loading và timeout.</x:v>
      </x:c>
      <x:c r="F15" s="50" t="str">
        <x:v>Có trạng thái chờ hợp lý; không trắng trang; hết timeout phải báo lỗi rõ ràng.</x:v>
      </x:c>
      <x:c r="G15" s="50" t="str">
        <x:v>High</x:v>
      </x:c>
      <x:c r="H15" s="50" t="str">
        <x:v>P1</x:v>
      </x:c>
      <x:c r="I15" s="50" t="str">
        <x:v>Recovery</x:v>
      </x:c>
      <x:c r="J15" s="50" t="str">
        <x:v>Need API/Database</x:v>
      </x:c>
      <x:c r="K15" s="50" t="str"/>
      <x:c r="L15" s="50" t="str">
        <x:v>Not Run</x:v>
      </x:c>
      <x:c r="M15" s="50" t="str"/>
      <x:c r="N15" s="50" t="str"/>
    </x:row>
    <x:row r="16" ht="72" customHeight="1">
      <x:c r="A16" s="50" t="str">
        <x:v>DLS-012</x:v>
      </x:c>
      <x:c r="B16" s="50" t="str">
        <x:v>Dashboard Load &amp; Session</x:v>
      </x:c>
      <x:c r="C16" s="50" t="str">
        <x:v>Xử lý khi API Dashboard trả lỗi 500</x:v>
      </x:c>
      <x:c r="D16" s="50" t="str">
        <x:v>Thực hiện trên môi trường test/staging với dữ liệu an toàn.</x:v>
      </x:c>
      <x:c r="E16" s="50" t="str">
        <x:v>1. Mock API Dashboard trả 500.
2. Mở Dashboard.
3. Quan sát thông báo và khả năng thao tác lại.</x:v>
      </x:c>
      <x:c r="F16" s="50" t="str">
        <x:v>UI hiển thị lỗi thân thiện hoặc trạng thái fallback; không crash toàn trang.</x:v>
      </x:c>
      <x:c r="G16" s="50" t="str">
        <x:v>High</x:v>
      </x:c>
      <x:c r="H16" s="50" t="str">
        <x:v>P1</x:v>
      </x:c>
      <x:c r="I16" s="50" t="str">
        <x:v>Negative</x:v>
      </x:c>
      <x:c r="J16" s="50" t="str">
        <x:v>Need API/Database</x:v>
      </x:c>
      <x:c r="K16" s="50" t="str"/>
      <x:c r="L16" s="50" t="str">
        <x:v>Not Run</x:v>
      </x:c>
      <x:c r="M16" s="50" t="str"/>
      <x:c r="N16" s="50" t="str"/>
    </x:row>
    <x:row r="17" ht="72" customHeight="1">
      <x:c r="A17" s="50" t="str">
        <x:v>DLS-013</x:v>
      </x:c>
      <x:c r="B17" s="50" t="str">
        <x:v>Dashboard Load &amp; Session</x:v>
      </x:c>
      <x:c r="C17" s="50" t="str">
        <x:v>Session hết hạn trong lúc đang ở Dashboard</x:v>
      </x:c>
      <x:c r="D17" s="50" t="str">
        <x:v>Thực hiện trên môi trường test/staging với dữ liệu an toàn.</x:v>
      </x:c>
      <x:c r="E17" s="50" t="str">
        <x:v>1. Mở Dashboard.
2. Làm hết hạn token/session.
3. Thực hiện thao tác gọi API.</x:v>
      </x:c>
      <x:c r="F17" s="50" t="str">
        <x:v>Hệ thống chuyển đến đăng nhập hoặc thông báo hết phiên đúng quy định; không lặp redirect.</x:v>
      </x:c>
      <x:c r="G17" s="50" t="str">
        <x:v>Critical</x:v>
      </x:c>
      <x:c r="H17" s="50" t="str">
        <x:v>P0</x:v>
      </x:c>
      <x:c r="I17" s="50" t="str">
        <x:v>Session</x:v>
      </x:c>
      <x:c r="J17" s="50" t="str">
        <x:v>Need API/Database</x:v>
      </x:c>
      <x:c r="K17" s="50" t="str"/>
      <x:c r="L17" s="50" t="str">
        <x:v>Not Run</x:v>
      </x:c>
      <x:c r="M17" s="50" t="str"/>
      <x:c r="N17" s="50" t="str"/>
    </x:row>
    <x:row r="18" ht="72" customHeight="1">
      <x:c r="A18" s="50" t="str">
        <x:v>DLS-014</x:v>
      </x:c>
      <x:c r="B18" s="50" t="str">
        <x:v>Dashboard Load &amp; Session</x:v>
      </x:c>
      <x:c r="C18" s="50" t="str">
        <x:v>Tài khoản không có quyền truy cập Dashboard</x:v>
      </x:c>
      <x:c r="D18" s="50" t="str">
        <x:v>Có tài khoản bị giới hạn quyền.</x:v>
      </x:c>
      <x:c r="E18" s="50" t="str">
        <x:v>1. Đăng nhập bằng tài khoản không có quyền.
2. Truy cập trực tiếp URL Dashboard.</x:v>
      </x:c>
      <x:c r="F18" s="50" t="str">
        <x:v>Hệ thống chặn truy cập đúng quy định, không lộ dữ liệu.</x:v>
      </x:c>
      <x:c r="G18" s="50" t="str">
        <x:v>Critical</x:v>
      </x:c>
      <x:c r="H18" s="50" t="str">
        <x:v>P0</x:v>
      </x:c>
      <x:c r="I18" s="50" t="str">
        <x:v>Permission</x:v>
      </x:c>
      <x:c r="J18" s="50" t="str">
        <x:v>Need business requirement</x:v>
      </x:c>
      <x:c r="K18" s="50" t="str"/>
      <x:c r="L18" s="50" t="str">
        <x:v>Not Run</x:v>
      </x:c>
      <x:c r="M18" s="50" t="str"/>
      <x:c r="N18" s="50" t="str"/>
    </x:row>
    <x:row r="19" ht="72" customHeight="1">
      <x:c r="A19" s="50" t="str">
        <x:v>DLS-015</x:v>
      </x:c>
      <x:c r="B19" s="50" t="str">
        <x:v>Dashboard Load &amp; Session</x:v>
      </x:c>
      <x:c r="C19" s="50" t="str">
        <x:v>Không có lỗi JavaScript nghiêm trọng khi tải Dashboard</x:v>
      </x:c>
      <x:c r="D19" s="50" t="str">
        <x:v>Có tài khoản hợp lệ; đã đăng nhập CMS; nhóm Vua Thợ được phép truy cập. Đang ở trang Dashboard.</x:v>
      </x:c>
      <x:c r="E19" s="50" t="str">
        <x:v>1. Mở DevTools log hoặc browser log qua WebDriver.
2. Tải Dashboard và thao tác các control chính.
3. Thu thập SEVERE console entries.</x:v>
      </x:c>
      <x:c r="F19" s="50" t="str">
        <x:v>Không có lỗi JavaScript nghiêm trọng làm hỏng chức năng.</x:v>
      </x:c>
      <x:c r="G19" s="50" t="str">
        <x:v>High</x:v>
      </x:c>
      <x:c r="H19" s="50" t="str">
        <x:v>P1</x:v>
      </x:c>
      <x:c r="I19" s="50" t="str">
        <x:v>Recovery</x:v>
      </x:c>
      <x:c r="J19" s="50" t="str">
        <x:v>Automate</x:v>
      </x:c>
      <x:c r="K19" s="50" t="str"/>
      <x:c r="L19" s="50" t="str">
        <x:v>Not Run</x:v>
      </x:c>
      <x:c r="M19" s="50" t="str"/>
      <x:c r="N19" s="50" t="str"/>
    </x:row>
    <x:row r="20" ht="72" customHeight="1">
      <x:c r="A20" s="50" t="str">
        <x:v>HCW-001</x:v>
      </x:c>
      <x:c r="B20" s="50" t="str">
        <x:v>Header &amp; Common Widgets</x:v>
      </x:c>
      <x:c r="C20" s="50" t="str">
        <x:v>Hiển thị thông tin tài khoản trên header</x:v>
      </x:c>
      <x:c r="D20" s="50" t="str">
        <x:v>Có tài khoản hợp lệ; đã đăng nhập CMS; nhóm Vua Thợ được phép truy cập. Đang ở trang Dashboard.</x:v>
      </x:c>
      <x:c r="E20" s="50" t="str">
        <x:v>1. Quan sát khu vực tài khoản bên phải header.
2. Đọc tên người dùng và thông tin môi trường/vai trò.</x:v>
      </x:c>
      <x:c r="F20" s="50" t="str">
        <x:v>Tên người dùng và thông tin môi trường/vai trò hiển thị, không rỗng, không tràn layout.</x:v>
      </x:c>
      <x:c r="G20" s="50" t="str">
        <x:v>Medium</x:v>
      </x:c>
      <x:c r="H20" s="50" t="str">
        <x:v>P2</x:v>
      </x:c>
      <x:c r="I20" s="50" t="str">
        <x:v>UI</x:v>
      </x:c>
      <x:c r="J20" s="50" t="str">
        <x:v>Automate</x:v>
      </x:c>
      <x:c r="K20" s="50" t="str"/>
      <x:c r="L20" s="50" t="str">
        <x:v>Not Run</x:v>
      </x:c>
      <x:c r="M20" s="50" t="str"/>
      <x:c r="N20" s="50" t="str"/>
    </x:row>
    <x:row r="21" ht="72" customHeight="1">
      <x:c r="A21" s="50" t="str">
        <x:v>HCW-002</x:v>
      </x:c>
      <x:c r="B21" s="50" t="str">
        <x:v>Header &amp; Common Widgets</x:v>
      </x:c>
      <x:c r="C21" s="50" t="str">
        <x:v>Nút Đăng xuất hiển thị và có thể thao tác</x:v>
      </x:c>
      <x:c r="D21" s="50" t="str">
        <x:v>Có tài khoản hợp lệ; đã đăng nhập CMS; nhóm Vua Thợ được phép truy cập. Đang ở trang Dashboard.</x:v>
      </x:c>
      <x:c r="E21" s="50" t="str">
        <x:v>1. Tìm button title='Đăng xuất'.
2. Kiểm tra displayed, enabled và focus bằng bàn phím.</x:v>
      </x:c>
      <x:c r="F21" s="50" t="str">
        <x:v>Nút hiển thị, enabled và nhận focus.</x:v>
      </x:c>
      <x:c r="G21" s="50" t="str">
        <x:v>High</x:v>
      </x:c>
      <x:c r="H21" s="50" t="str">
        <x:v>P1</x:v>
      </x:c>
      <x:c r="I21" s="50" t="str">
        <x:v>UI</x:v>
      </x:c>
      <x:c r="J21" s="50" t="str">
        <x:v>Automate</x:v>
      </x:c>
      <x:c r="K21" s="50" t="str"/>
      <x:c r="L21" s="50" t="str">
        <x:v>Not Run</x:v>
      </x:c>
      <x:c r="M21" s="50" t="str"/>
      <x:c r="N21" s="50" t="str"/>
    </x:row>
    <x:row r="22" ht="72" customHeight="1">
      <x:c r="A22" s="50" t="str">
        <x:v>HCW-003</x:v>
      </x:c>
      <x:c r="B22" s="50" t="str">
        <x:v>Header &amp; Common Widgets</x:v>
      </x:c>
      <x:c r="C22" s="50" t="str">
        <x:v>Đăng xuất thành công</x:v>
      </x:c>
      <x:c r="D22" s="50" t="str">
        <x:v>Có tài khoản hợp lệ; đã đăng nhập CMS; nhóm Vua Thợ được phép truy cập. Đang ở trang Dashboard. Có thể đăng nhập lại sau test.</x:v>
      </x:c>
      <x:c r="E22" s="50" t="str">
        <x:v>1. Click nút Đăng xuất.
2. Chờ điều hướng.
3. Kiểm tra trang đích và session.</x:v>
      </x:c>
      <x:c r="F22" s="50" t="str">
        <x:v>Chuyển về màn hình đăng nhập/đích quy định; session bị hủy.</x:v>
      </x:c>
      <x:c r="G22" s="50" t="str">
        <x:v>Critical</x:v>
      </x:c>
      <x:c r="H22" s="50" t="str">
        <x:v>P0</x:v>
      </x:c>
      <x:c r="I22" s="50" t="str">
        <x:v>Functional</x:v>
      </x:c>
      <x:c r="J22" s="50" t="str">
        <x:v>Automate</x:v>
      </x:c>
      <x:c r="K22" s="50" t="str"/>
      <x:c r="L22" s="50" t="str">
        <x:v>Not Run</x:v>
      </x:c>
      <x:c r="M22" s="50" t="str"/>
      <x:c r="N22" s="50" t="str"/>
    </x:row>
    <x:row r="23" ht="72" customHeight="1">
      <x:c r="A23" s="50" t="str">
        <x:v>HCW-004</x:v>
      </x:c>
      <x:c r="B23" s="50" t="str">
        <x:v>Header &amp; Common Widgets</x:v>
      </x:c>
      <x:c r="C23" s="50" t="str">
        <x:v>Không truy cập Dashboard bằng Back sau khi logout</x:v>
      </x:c>
      <x:c r="D23" s="50" t="str">
        <x:v>Đã thực hiện đăng xuất.</x:v>
      </x:c>
      <x:c r="E23" s="50" t="str">
        <x:v>1. Nhấn Back trên trình duyệt.
2. Thử refresh Dashboard nếu nội dung cache xuất hiện.</x:v>
      </x:c>
      <x:c r="F23" s="50" t="str">
        <x:v>Không truy cập lại dữ liệu bảo vệ; phải yêu cầu đăng nhập.</x:v>
      </x:c>
      <x:c r="G23" s="50" t="str">
        <x:v>Critical</x:v>
      </x:c>
      <x:c r="H23" s="50" t="str">
        <x:v>P0</x:v>
      </x:c>
      <x:c r="I23" s="50" t="str">
        <x:v>Session</x:v>
      </x:c>
      <x:c r="J23" s="50" t="str">
        <x:v>Automate</x:v>
      </x:c>
      <x:c r="K23" s="50" t="str"/>
      <x:c r="L23" s="50" t="str">
        <x:v>Not Run</x:v>
      </x:c>
      <x:c r="M23" s="50" t="str"/>
      <x:c r="N23" s="50" t="str"/>
    </x:row>
    <x:row r="24" ht="72" customHeight="1">
      <x:c r="A24" s="50" t="str">
        <x:v>HCW-005</x:v>
      </x:c>
      <x:c r="B24" s="50" t="str">
        <x:v>Header &amp; Common Widgets</x:v>
      </x:c>
      <x:c r="C24" s="50" t="str">
        <x:v>Hiển thị khu vực Tin tức nổi bật</x:v>
      </x:c>
      <x:c r="D24" s="50" t="str">
        <x:v>Có tài khoản hợp lệ; đã đăng nhập CMS; nhóm Vua Thợ được phép truy cập. Đang ở trang Dashboard.</x:v>
      </x:c>
      <x:c r="E24" s="50" t="str">
        <x:v>1. Quan sát thanh tin tức dưới header.
2. Đọc nhãn và nội dung tin.</x:v>
      </x:c>
      <x:c r="F24" s="50" t="str">
        <x:v>Nhãn “Tin tức nổi bật:” và ít nhất một nội dung tin hiển thị.</x:v>
      </x:c>
      <x:c r="G24" s="50" t="str">
        <x:v>Low</x:v>
      </x:c>
      <x:c r="H24" s="50" t="str">
        <x:v>P3</x:v>
      </x:c>
      <x:c r="I24" s="50" t="str">
        <x:v>UI</x:v>
      </x:c>
      <x:c r="J24" s="50" t="str">
        <x:v>Automate</x:v>
      </x:c>
      <x:c r="K24" s="50" t="str"/>
      <x:c r="L24" s="50" t="str">
        <x:v>Not Run</x:v>
      </x:c>
      <x:c r="M24" s="50" t="str"/>
      <x:c r="N24" s="50" t="str"/>
    </x:row>
    <x:row r="25" ht="72" customHeight="1">
      <x:c r="A25" s="50" t="str">
        <x:v>HCW-006</x:v>
      </x:c>
      <x:c r="B25" s="50" t="str">
        <x:v>Header &amp; Common Widgets</x:v>
      </x:c>
      <x:c r="C25" s="50" t="str">
        <x:v>Link tin giao dịch điều hướng đúng</x:v>
      </x:c>
      <x:c r="D25" s="50" t="str">
        <x:v>Có tài khoản hợp lệ; đã đăng nhập CMS; nhóm Vua Thợ được phép truy cập. Đang ở trang Dashboard.</x:v>
      </x:c>
      <x:c r="E25" s="50" t="str">
        <x:v>1. Click nội dung tin “giao dịch mới”.
2. Chờ URL thay đổi.
3. Kiểm tra trang đích.</x:v>
      </x:c>
      <x:c r="F25" s="50" t="str">
        <x:v>Điều hướng đến /vuatho/transaction; trang đích tải thành công.</x:v>
      </x:c>
      <x:c r="G25" s="50" t="str">
        <x:v>Medium</x:v>
      </x:c>
      <x:c r="H25" s="50" t="str">
        <x:v>P2</x:v>
      </x:c>
      <x:c r="I25" s="50" t="str">
        <x:v>Navigation</x:v>
      </x:c>
      <x:c r="J25" s="50" t="str">
        <x:v>Automate</x:v>
      </x:c>
      <x:c r="K25" s="50" t="str"/>
      <x:c r="L25" s="50" t="str">
        <x:v>Not Run</x:v>
      </x:c>
      <x:c r="M25" s="50" t="str"/>
      <x:c r="N25" s="50" t="str">
        <x:v>DOM có href='/vuatho/transaction'.</x:v>
      </x:c>
    </x:row>
    <x:row r="26" ht="72" customHeight="1">
      <x:c r="A26" s="50" t="str">
        <x:v>HCW-007</x:v>
      </x:c>
      <x:c r="B26" s="50" t="str">
        <x:v>Header &amp; Common Widgets</x:v>
      </x:c>
      <x:c r="C26" s="50" t="str">
        <x:v>Marquee không tạo nhiều link trùng trong automation</x:v>
      </x:c>
      <x:c r="D26" s="50" t="str">
        <x:v>Có tài khoản hợp lệ; đã đăng nhập CMS; nhóm Vua Thợ được phép truy cập. Đang ở trang Dashboard.</x:v>
      </x:c>
      <x:c r="E26" s="50" t="str">
        <x:v>1. Lấy các link tin tức đang displayed.
2. Loại trùng theo text + href.
3. Click một link duy nhất.</x:v>
      </x:c>
      <x:c r="F26" s="50" t="str">
        <x:v>Automation chỉ thao tác một bản hiển thị; không click các clone phục vụ animation.</x:v>
      </x:c>
      <x:c r="G26" s="50" t="str">
        <x:v>Medium</x:v>
      </x:c>
      <x:c r="H26" s="50" t="str">
        <x:v>P2</x:v>
      </x:c>
      <x:c r="I26" s="50" t="str">
        <x:v>Functional</x:v>
      </x:c>
      <x:c r="J26" s="50" t="str">
        <x:v>Automate</x:v>
      </x:c>
      <x:c r="K26" s="50" t="str"/>
      <x:c r="L26" s="50" t="str">
        <x:v>Not Run</x:v>
      </x:c>
      <x:c r="M26" s="50" t="str"/>
      <x:c r="N26" s="50" t="str"/>
    </x:row>
    <x:row r="27" ht="72" customHeight="1">
      <x:c r="A27" s="50" t="str">
        <x:v>HCW-008</x:v>
      </x:c>
      <x:c r="B27" s="50" t="str">
        <x:v>Header &amp; Common Widgets</x:v>
      </x:c>
      <x:c r="C27" s="50" t="str">
        <x:v>Header giữ cố định khi cuộn trang</x:v>
      </x:c>
      <x:c r="D27" s="50" t="str">
        <x:v>Có tài khoản hợp lệ; đã đăng nhập CMS; nhóm Vua Thợ được phép truy cập. Đang ở trang Dashboard.</x:v>
      </x:c>
      <x:c r="E27" s="50" t="str">
        <x:v>1. Cuộn xuống section cuối.
2. Kiểm tra vị trí header.
3. Cuộn lên đầu.</x:v>
      </x:c>
      <x:c r="F27" s="50" t="str">
        <x:v>Header vẫn hiển thị đúng theo thiết kế sticky; không che control chính.</x:v>
      </x:c>
      <x:c r="G27" s="50" t="str">
        <x:v>Low</x:v>
      </x:c>
      <x:c r="H27" s="50" t="str">
        <x:v>P3</x:v>
      </x:c>
      <x:c r="I27" s="50" t="str">
        <x:v>UI</x:v>
      </x:c>
      <x:c r="J27" s="50" t="str">
        <x:v>Automate</x:v>
      </x:c>
      <x:c r="K27" s="50" t="str"/>
      <x:c r="L27" s="50" t="str">
        <x:v>Not Run</x:v>
      </x:c>
      <x:c r="M27" s="50" t="str"/>
      <x:c r="N27" s="50" t="str"/>
    </x:row>
    <x:row r="28" ht="72" customHeight="1">
      <x:c r="A28" s="50" t="str">
        <x:v>HCW-009</x:v>
      </x:c>
      <x:c r="B28" s="50" t="str">
        <x:v>Header &amp; Common Widgets</x:v>
      </x:c>
      <x:c r="C28" s="50" t="str">
        <x:v>Logo điều hướng về trang gốc</x:v>
      </x:c>
      <x:c r="D28" s="50" t="str">
        <x:v>Có tài khoản hợp lệ; đã đăng nhập CMS; nhóm Vua Thợ được phép truy cập. Đang ở trang Dashboard.</x:v>
      </x:c>
      <x:c r="E28" s="50" t="str">
        <x:v>1. Click logo ở sidebar/header.
2. Chờ điều hướng.</x:v>
      </x:c>
      <x:c r="F28" s="50" t="str">
        <x:v>Điều hướng đến đường dẫn '/' hoặc trang gốc theo cấu hình.</x:v>
      </x:c>
      <x:c r="G28" s="50" t="str">
        <x:v>Medium</x:v>
      </x:c>
      <x:c r="H28" s="50" t="str">
        <x:v>P2</x:v>
      </x:c>
      <x:c r="I28" s="50" t="str">
        <x:v>Navigation</x:v>
      </x:c>
      <x:c r="J28" s="50" t="str">
        <x:v>Automate</x:v>
      </x:c>
      <x:c r="K28" s="50" t="str"/>
      <x:c r="L28" s="50" t="str">
        <x:v>Not Run</x:v>
      </x:c>
      <x:c r="M28" s="50" t="str"/>
      <x:c r="N28" s="50" t="str">
        <x:v>DOM có link logo href='/'.</x:v>
      </x:c>
    </x:row>
    <x:row r="29" ht="72" customHeight="1">
      <x:c r="A29" s="50" t="str">
        <x:v>HCW-010</x:v>
      </x:c>
      <x:c r="B29" s="50" t="str">
        <x:v>Header &amp; Common Widgets</x:v>
      </x:c>
      <x:c r="C29" s="50" t="str">
        <x:v>Widget tổng đài hiển thị</x:v>
      </x:c>
      <x:c r="D29" s="50" t="str">
        <x:v>Có tài khoản hợp lệ; đã đăng nhập CMS; nhóm Vua Thợ được phép truy cập. Đang ở trang Dashboard.</x:v>
      </x:c>
      <x:c r="E29" s="50" t="str">
        <x:v>1. Tìm button aria-label='Mở tổng đài'.
2. Kiểm tra icon, status dot và badge.</x:v>
      </x:c>
      <x:c r="F29" s="50" t="str">
        <x:v>Widget hiển thị nổi; icon và trạng thái không bị vỡ.</x:v>
      </x:c>
      <x:c r="G29" s="50" t="str">
        <x:v>Medium</x:v>
      </x:c>
      <x:c r="H29" s="50" t="str">
        <x:v>P2</x:v>
      </x:c>
      <x:c r="I29" s="50" t="str">
        <x:v>UI</x:v>
      </x:c>
      <x:c r="J29" s="50" t="str">
        <x:v>Automate</x:v>
      </x:c>
      <x:c r="K29" s="50" t="str"/>
      <x:c r="L29" s="50" t="str">
        <x:v>Not Run</x:v>
      </x:c>
      <x:c r="M29" s="50" t="str"/>
      <x:c r="N29" s="50" t="str"/>
    </x:row>
    <x:row r="30" ht="72" customHeight="1">
      <x:c r="A30" s="50" t="str">
        <x:v>HCW-011</x:v>
      </x:c>
      <x:c r="B30" s="50" t="str">
        <x:v>Header &amp; Common Widgets</x:v>
      </x:c>
      <x:c r="C30" s="50" t="str">
        <x:v>Mở tổng đài</x:v>
      </x:c>
      <x:c r="D30" s="50" t="str">
        <x:v>Có tài khoản hợp lệ; đã đăng nhập CMS; nhóm Vua Thợ được phép truy cập. Đang ở trang Dashboard.</x:v>
      </x:c>
      <x:c r="E30" s="50" t="str">
        <x:v>1. Click widget tổng đài.
2. Chờ panel/modal tổng đài xuất hiện.</x:v>
      </x:c>
      <x:c r="F30" s="50" t="str">
        <x:v>Tổng đài mở đúng một lần; panel không bị trùng.</x:v>
      </x:c>
      <x:c r="G30" s="50" t="str">
        <x:v>High</x:v>
      </x:c>
      <x:c r="H30" s="50" t="str">
        <x:v>P1</x:v>
      </x:c>
      <x:c r="I30" s="50" t="str">
        <x:v>Functional</x:v>
      </x:c>
      <x:c r="J30" s="50" t="str">
        <x:v>Need more DOM</x:v>
      </x:c>
      <x:c r="K30" s="50" t="str"/>
      <x:c r="L30" s="50" t="str">
        <x:v>Not Run</x:v>
      </x:c>
      <x:c r="M30" s="50" t="str"/>
      <x:c r="N30" s="50" t="str"/>
    </x:row>
    <x:row r="31" ht="72" customHeight="1">
      <x:c r="A31" s="50" t="str">
        <x:v>HCW-012</x:v>
      </x:c>
      <x:c r="B31" s="50" t="str">
        <x:v>Header &amp; Common Widgets</x:v>
      </x:c>
      <x:c r="C31" s="50" t="str">
        <x:v>Kéo thả widget tổng đài</x:v>
      </x:c>
      <x:c r="D31" s="50" t="str">
        <x:v>Có tài khoản hợp lệ; đã đăng nhập CMS; nhóm Vua Thợ được phép truy cập. Đang ở trang Dashboard.</x:v>
      </x:c>
      <x:c r="E31" s="50" t="str">
        <x:v>1. Kéo widget đến vị trí khác trong viewport.
2. Thả chuột.
3. Thực hiện click mở.</x:v>
      </x:c>
      <x:c r="F31" s="50" t="str">
        <x:v>Widget di chuyển trong giới hạn màn hình và vẫn click được.</x:v>
      </x:c>
      <x:c r="G31" s="50" t="str">
        <x:v>Medium</x:v>
      </x:c>
      <x:c r="H31" s="50" t="str">
        <x:v>P2</x:v>
      </x:c>
      <x:c r="I31" s="50" t="str">
        <x:v>Functional</x:v>
      </x:c>
      <x:c r="J31" s="50" t="str">
        <x:v>Automate</x:v>
      </x:c>
      <x:c r="K31" s="50" t="str"/>
      <x:c r="L31" s="50" t="str">
        <x:v>Not Run</x:v>
      </x:c>
      <x:c r="M31" s="50" t="str"/>
      <x:c r="N31" s="50" t="str"/>
    </x:row>
    <x:row r="32" ht="72" customHeight="1">
      <x:c r="A32" s="50" t="str">
        <x:v>HCW-013</x:v>
      </x:c>
      <x:c r="B32" s="50" t="str">
        <x:v>Header &amp; Common Widgets</x:v>
      </x:c>
      <x:c r="C32" s="50" t="str">
        <x:v>Badge tổng đài là số hợp lệ</x:v>
      </x:c>
      <x:c r="D32" s="50" t="str">
        <x:v>Có tài khoản hợp lệ; đã đăng nhập CMS; nhóm Vua Thợ được phép truy cập. Đang ở trang Dashboard.</x:v>
      </x:c>
      <x:c r="E32" s="50" t="str">
        <x:v>1. Đọc text badge trên widget.
2. Parse giá trị.</x:v>
      </x:c>
      <x:c r="F32" s="50" t="str">
        <x:v>Badge là số nguyên không âm; không hiển thị NaN hoặc text lỗi.</x:v>
      </x:c>
      <x:c r="G32" s="50" t="str">
        <x:v>Low</x:v>
      </x:c>
      <x:c r="H32" s="50" t="str">
        <x:v>P3</x:v>
      </x:c>
      <x:c r="I32" s="50" t="str">
        <x:v>Validation</x:v>
      </x:c>
      <x:c r="J32" s="50" t="str">
        <x:v>Automate</x:v>
      </x:c>
      <x:c r="K32" s="50" t="str"/>
      <x:c r="L32" s="50" t="str">
        <x:v>Not Run</x:v>
      </x:c>
      <x:c r="M32" s="50" t="str"/>
      <x:c r="N32" s="50" t="str"/>
    </x:row>
    <x:row r="33" ht="72" customHeight="1">
      <x:c r="A33" s="50" t="str">
        <x:v>HCW-014</x:v>
      </x:c>
      <x:c r="B33" s="50" t="str">
        <x:v>Header &amp; Common Widgets</x:v>
      </x:c>
      <x:c r="C33" s="50" t="str">
        <x:v>Badge tổng đài với giá trị lớn</x:v>
      </x:c>
      <x:c r="D33" s="50" t="str">
        <x:v>Thực hiện trên môi trường test/staging với dữ liệu an toàn.</x:v>
      </x:c>
      <x:c r="E33" s="50" t="str">
        <x:v>1. Mock/chuẩn bị số lượng thông báo lớn.
2. Mở Dashboard.
3. Quan sát badge.</x:v>
      </x:c>
      <x:c r="F33" s="50" t="str">
        <x:v>Badge không làm vỡ widget; hiển thị theo quy ước như 99+ nếu có.</x:v>
      </x:c>
      <x:c r="G33" s="50" t="str">
        <x:v>Low</x:v>
      </x:c>
      <x:c r="H33" s="50" t="str">
        <x:v>P3</x:v>
      </x:c>
      <x:c r="I33" s="50" t="str">
        <x:v>Boundary</x:v>
      </x:c>
      <x:c r="J33" s="50" t="str">
        <x:v>Need API/Database</x:v>
      </x:c>
      <x:c r="K33" s="50" t="str"/>
      <x:c r="L33" s="50" t="str">
        <x:v>Not Run</x:v>
      </x:c>
      <x:c r="M33" s="50" t="str"/>
      <x:c r="N33" s="50" t="str"/>
    </x:row>
    <x:row r="34" ht="72" customHeight="1">
      <x:c r="A34" s="50" t="str">
        <x:v>HCW-015</x:v>
      </x:c>
      <x:c r="B34" s="50" t="str">
        <x:v>Header &amp; Common Widgets</x:v>
      </x:c>
      <x:c r="C34" s="50" t="str">
        <x:v>Widget tổng đài vẫn nằm trong viewport sau resize</x:v>
      </x:c>
      <x:c r="D34" s="50" t="str">
        <x:v>Có tài khoản hợp lệ; đã đăng nhập CMS; nhóm Vua Thợ được phép truy cập. Đang ở trang Dashboard.</x:v>
      </x:c>
      <x:c r="E34" s="50" t="str">
        <x:v>1. Resize cửa sổ qua các kích thước desktop/tablet.
2. Kiểm tra vị trí widget.</x:v>
      </x:c>
      <x:c r="F34" s="50" t="str">
        <x:v>Widget không bị mất khỏi viewport hoặc che control quan trọng.</x:v>
      </x:c>
      <x:c r="G34" s="50" t="str">
        <x:v>Medium</x:v>
      </x:c>
      <x:c r="H34" s="50" t="str">
        <x:v>P2</x:v>
      </x:c>
      <x:c r="I34" s="50" t="str">
        <x:v>Responsive</x:v>
      </x:c>
      <x:c r="J34" s="50" t="str">
        <x:v>Automate</x:v>
      </x:c>
      <x:c r="K34" s="50" t="str"/>
      <x:c r="L34" s="50" t="str">
        <x:v>Not Run</x:v>
      </x:c>
      <x:c r="M34" s="50" t="str"/>
      <x:c r="N34" s="50" t="str"/>
    </x:row>
    <x:row r="35" ht="72" customHeight="1">
      <x:c r="A35" s="50" t="str">
        <x:v>SBM-001</x:v>
      </x:c>
      <x:c r="B35" s="50" t="str">
        <x:v>Sidebar &amp; Menu</x:v>
      </x:c>
      <x:c r="C35" s="50" t="str">
        <x:v>Nhóm hệ thống Vua Thợ hiển thị và click được</x:v>
      </x:c>
      <x:c r="D35" s="50" t="str">
        <x:v>Có tài khoản hợp lệ; đã đăng nhập CMS; nhóm Vua Thợ được phép truy cập. Đang ở trang Dashboard.</x:v>
      </x:c>
      <x:c r="E35" s="50" t="str">
        <x:v>1. Tìm button có text “Vua Thợ”.
2. Kiểm tra displayed/enabled.
3. Click button.</x:v>
      </x:c>
      <x:c r="F35" s="50" t="str">
        <x:v>Button Vua Thợ hiển thị, click được và chuyển sang trạng thái active.</x:v>
      </x:c>
      <x:c r="G35" s="50" t="str">
        <x:v>High</x:v>
      </x:c>
      <x:c r="H35" s="50" t="str">
        <x:v>P1</x:v>
      </x:c>
      <x:c r="I35" s="50" t="str">
        <x:v>Navigation</x:v>
      </x:c>
      <x:c r="J35" s="50" t="str">
        <x:v>Automate</x:v>
      </x:c>
      <x:c r="K35" s="50" t="str"/>
      <x:c r="L35" s="50" t="str">
        <x:v>Not Run</x:v>
      </x:c>
      <x:c r="M35" s="50" t="str"/>
      <x:c r="N35" s="50" t="str"/>
    </x:row>
    <x:row r="36" ht="72" customHeight="1">
      <x:c r="A36" s="50" t="str">
        <x:v>SBM-002</x:v>
      </x:c>
      <x:c r="B36" s="50" t="str">
        <x:v>Sidebar &amp; Menu</x:v>
      </x:c>
      <x:c r="C36" s="50" t="str">
        <x:v>Nhóm hệ thống Operation hiển thị và click được</x:v>
      </x:c>
      <x:c r="D36" s="50" t="str">
        <x:v>Có tài khoản hợp lệ; đã đăng nhập CMS; nhóm Vua Thợ được phép truy cập. Đang ở trang Dashboard.</x:v>
      </x:c>
      <x:c r="E36" s="50" t="str">
        <x:v>1. Tìm button có text “Operation”.
2. Kiểm tra displayed/enabled.
3. Click button.</x:v>
      </x:c>
      <x:c r="F36" s="50" t="str">
        <x:v>Button Operation hiển thị, click được và chuyển sang trạng thái active.</x:v>
      </x:c>
      <x:c r="G36" s="50" t="str">
        <x:v>Medium</x:v>
      </x:c>
      <x:c r="H36" s="50" t="str">
        <x:v>P1</x:v>
      </x:c>
      <x:c r="I36" s="50" t="str">
        <x:v>Navigation</x:v>
      </x:c>
      <x:c r="J36" s="50" t="str">
        <x:v>Automate</x:v>
      </x:c>
      <x:c r="K36" s="50" t="str"/>
      <x:c r="L36" s="50" t="str">
        <x:v>Not Run</x:v>
      </x:c>
      <x:c r="M36" s="50" t="str"/>
      <x:c r="N36" s="50" t="str"/>
    </x:row>
    <x:row r="37" ht="72" customHeight="1">
      <x:c r="A37" s="50" t="str">
        <x:v>SBM-003</x:v>
      </x:c>
      <x:c r="B37" s="50" t="str">
        <x:v>Sidebar &amp; Menu</x:v>
      </x:c>
      <x:c r="C37" s="50" t="str">
        <x:v>Nhóm hệ thống Đối Tác hiển thị và click được</x:v>
      </x:c>
      <x:c r="D37" s="50" t="str">
        <x:v>Có tài khoản hợp lệ; đã đăng nhập CMS; nhóm Vua Thợ được phép truy cập. Đang ở trang Dashboard.</x:v>
      </x:c>
      <x:c r="E37" s="50" t="str">
        <x:v>1. Tìm button có text “Đối Tác”.
2. Kiểm tra displayed/enabled.
3. Click button.</x:v>
      </x:c>
      <x:c r="F37" s="50" t="str">
        <x:v>Button Đối Tác hiển thị, click được và chuyển sang trạng thái active.</x:v>
      </x:c>
      <x:c r="G37" s="50" t="str">
        <x:v>Medium</x:v>
      </x:c>
      <x:c r="H37" s="50" t="str">
        <x:v>P1</x:v>
      </x:c>
      <x:c r="I37" s="50" t="str">
        <x:v>Navigation</x:v>
      </x:c>
      <x:c r="J37" s="50" t="str">
        <x:v>Automate</x:v>
      </x:c>
      <x:c r="K37" s="50" t="str"/>
      <x:c r="L37" s="50" t="str">
        <x:v>Not Run</x:v>
      </x:c>
      <x:c r="M37" s="50" t="str"/>
      <x:c r="N37" s="50" t="str"/>
    </x:row>
    <x:row r="38" ht="72" customHeight="1">
      <x:c r="A38" s="50" t="str">
        <x:v>SBM-004</x:v>
      </x:c>
      <x:c r="B38" s="50" t="str">
        <x:v>Sidebar &amp; Menu</x:v>
      </x:c>
      <x:c r="C38" s="50" t="str">
        <x:v>Nhóm hệ thống CSKH hiển thị và click được</x:v>
      </x:c>
      <x:c r="D38" s="50" t="str">
        <x:v>Có tài khoản hợp lệ; đã đăng nhập CMS; nhóm Vua Thợ được phép truy cập. Đang ở trang Dashboard.</x:v>
      </x:c>
      <x:c r="E38" s="50" t="str">
        <x:v>1. Tìm button có text “CSKH”.
2. Kiểm tra displayed/enabled.
3. Click button.</x:v>
      </x:c>
      <x:c r="F38" s="50" t="str">
        <x:v>Button CSKH hiển thị, click được và chuyển sang trạng thái active.</x:v>
      </x:c>
      <x:c r="G38" s="50" t="str">
        <x:v>Medium</x:v>
      </x:c>
      <x:c r="H38" s="50" t="str">
        <x:v>P1</x:v>
      </x:c>
      <x:c r="I38" s="50" t="str">
        <x:v>Navigation</x:v>
      </x:c>
      <x:c r="J38" s="50" t="str">
        <x:v>Automate</x:v>
      </x:c>
      <x:c r="K38" s="50" t="str"/>
      <x:c r="L38" s="50" t="str">
        <x:v>Not Run</x:v>
      </x:c>
      <x:c r="M38" s="50" t="str"/>
      <x:c r="N38" s="50" t="str"/>
    </x:row>
    <x:row r="39" ht="72" customHeight="1">
      <x:c r="A39" s="50" t="str">
        <x:v>SBM-005</x:v>
      </x:c>
      <x:c r="B39" s="50" t="str">
        <x:v>Sidebar &amp; Menu</x:v>
      </x:c>
      <x:c r="C39" s="50" t="str">
        <x:v>Vua Thợ là nhóm active mặc định trên Dashboard</x:v>
      </x:c>
      <x:c r="D39" s="50" t="str">
        <x:v>Có tài khoản hợp lệ; đã đăng nhập CMS; nhóm Vua Thợ được phép truy cập. Đang ở trang Dashboard.</x:v>
      </x:c>
      <x:c r="E39" s="50" t="str">
        <x:v>1. Mở Dashboard.
2. Kiểm tra class/trạng thái của button Vua Thợ và các nhóm khác.</x:v>
      </x:c>
      <x:c r="F39" s="50" t="str">
        <x:v>Chỉ Vua Thợ ở trạng thái active mặc định.</x:v>
      </x:c>
      <x:c r="G39" s="50" t="str">
        <x:v>Medium</x:v>
      </x:c>
      <x:c r="H39" s="50" t="str">
        <x:v>P2</x:v>
      </x:c>
      <x:c r="I39" s="50" t="str">
        <x:v>UI</x:v>
      </x:c>
      <x:c r="J39" s="50" t="str">
        <x:v>Automate</x:v>
      </x:c>
      <x:c r="K39" s="50" t="str"/>
      <x:c r="L39" s="50" t="str">
        <x:v>Not Run</x:v>
      </x:c>
      <x:c r="M39" s="50" t="str"/>
      <x:c r="N39" s="50" t="str"/>
    </x:row>
    <x:row r="40" ht="72" customHeight="1">
      <x:c r="A40" s="50" t="str">
        <x:v>SBM-006</x:v>
      </x:c>
      <x:c r="B40" s="50" t="str">
        <x:v>Sidebar &amp; Menu</x:v>
      </x:c>
      <x:c r="C40" s="50" t="str">
        <x:v>Chuyển nhóm rồi quay lại Vua Thợ</x:v>
      </x:c>
      <x:c r="D40" s="50" t="str">
        <x:v>Có tài khoản hợp lệ; đã đăng nhập CMS; nhóm Vua Thợ được phép truy cập. Đang ở trang Dashboard.</x:v>
      </x:c>
      <x:c r="E40" s="50" t="str">
        <x:v>1. Click Operation.
2. Click Vua Thợ.
3. Kiểm tra menu.</x:v>
      </x:c>
      <x:c r="F40" s="50" t="str">
        <x:v>Menu Vua Thợ hiển thị lại đúng; active state không bị kẹt.</x:v>
      </x:c>
      <x:c r="G40" s="50" t="str">
        <x:v>High</x:v>
      </x:c>
      <x:c r="H40" s="50" t="str">
        <x:v>P1</x:v>
      </x:c>
      <x:c r="I40" s="50" t="str">
        <x:v>Navigation</x:v>
      </x:c>
      <x:c r="J40" s="50" t="str">
        <x:v>Automate</x:v>
      </x:c>
      <x:c r="K40" s="50" t="str"/>
      <x:c r="L40" s="50" t="str">
        <x:v>Not Run</x:v>
      </x:c>
      <x:c r="M40" s="50" t="str"/>
      <x:c r="N40" s="50" t="str"/>
    </x:row>
    <x:row r="41" ht="72" customHeight="1">
      <x:c r="A41" s="50" t="str">
        <x:v>SBM-007</x:v>
      </x:c>
      <x:c r="B41" s="50" t="str">
        <x:v>Sidebar &amp; Menu</x:v>
      </x:c>
      <x:c r="C41" s="50" t="str">
        <x:v>Thu gọn sidebar</x:v>
      </x:c>
      <x:c r="D41" s="50" t="str">
        <x:v>Có tài khoản hợp lệ; đã đăng nhập CMS; nhóm Vua Thợ được phép truy cập. Đang ở trang Dashboard.</x:v>
      </x:c>
      <x:c r="E41" s="50" t="str">
        <x:v>1. Click nút thu gọn sidebar.
2. Chờ animation kết thúc.
3. Kiểm tra chiều rộng và nội dung main.</x:v>
      </x:c>
      <x:c r="F41" s="50" t="str">
        <x:v>Sidebar thu gọn; main content mở rộng tương ứng; không che nội dung.</x:v>
      </x:c>
      <x:c r="G41" s="50" t="str">
        <x:v>Medium</x:v>
      </x:c>
      <x:c r="H41" s="50" t="str">
        <x:v>P2</x:v>
      </x:c>
      <x:c r="I41" s="50" t="str">
        <x:v>UI</x:v>
      </x:c>
      <x:c r="J41" s="50" t="str">
        <x:v>Automate</x:v>
      </x:c>
      <x:c r="K41" s="50" t="str"/>
      <x:c r="L41" s="50" t="str">
        <x:v>Not Run</x:v>
      </x:c>
      <x:c r="M41" s="50" t="str"/>
      <x:c r="N41" s="50" t="str">
        <x:v>Nút chưa có title/aria-label ổn định; nên bổ sung data-testid.</x:v>
      </x:c>
    </x:row>
    <x:row r="42" ht="72" customHeight="1">
      <x:c r="A42" s="50" t="str">
        <x:v>SBM-008</x:v>
      </x:c>
      <x:c r="B42" s="50" t="str">
        <x:v>Sidebar &amp; Menu</x:v>
      </x:c>
      <x:c r="C42" s="50" t="str">
        <x:v>Mở rộng sidebar sau khi thu gọn</x:v>
      </x:c>
      <x:c r="D42" s="50" t="str">
        <x:v>Có tài khoản hợp lệ; đã đăng nhập CMS; nhóm Vua Thợ được phép truy cập. Đang ở trang Dashboard.</x:v>
      </x:c>
      <x:c r="E42" s="50" t="str">
        <x:v>1. Thu gọn sidebar.
2. Click nút mở rộng.
3. Kiểm tra menu text.</x:v>
      </x:c>
      <x:c r="F42" s="50" t="str">
        <x:v>Sidebar mở rộng lại; các menu text hiển thị đầy đủ.</x:v>
      </x:c>
      <x:c r="G42" s="50" t="str">
        <x:v>Medium</x:v>
      </x:c>
      <x:c r="H42" s="50" t="str">
        <x:v>P2</x:v>
      </x:c>
      <x:c r="I42" s="50" t="str">
        <x:v>UI</x:v>
      </x:c>
      <x:c r="J42" s="50" t="str">
        <x:v>Automate</x:v>
      </x:c>
      <x:c r="K42" s="50" t="str"/>
      <x:c r="L42" s="50" t="str">
        <x:v>Not Run</x:v>
      </x:c>
      <x:c r="M42" s="50" t="str"/>
      <x:c r="N42" s="50" t="str"/>
    </x:row>
    <x:row r="43" ht="72" customHeight="1">
      <x:c r="A43" s="50" t="str">
        <x:v>SBM-009</x:v>
      </x:c>
      <x:c r="B43" s="50" t="str">
        <x:v>Sidebar &amp; Menu</x:v>
      </x:c>
      <x:c r="C43" s="50" t="str">
        <x:v>Active menu được giữ khi thu gọn/mở rộng</x:v>
      </x:c>
      <x:c r="D43" s="50" t="str">
        <x:v>Có tài khoản hợp lệ; đã đăng nhập CMS; nhóm Vua Thợ được phép truy cập. Đang ở trang Dashboard.</x:v>
      </x:c>
      <x:c r="E43" s="50" t="str">
        <x:v>1. Chọn một menu.
2. Thu gọn rồi mở rộng sidebar.
3. Kiểm tra active state.</x:v>
      </x:c>
      <x:c r="F43" s="50" t="str">
        <x:v>Menu đang active không bị thay đổi.</x:v>
      </x:c>
      <x:c r="G43" s="50" t="str">
        <x:v>Low</x:v>
      </x:c>
      <x:c r="H43" s="50" t="str">
        <x:v>P3</x:v>
      </x:c>
      <x:c r="I43" s="50" t="str">
        <x:v>UI</x:v>
      </x:c>
      <x:c r="J43" s="50" t="str">
        <x:v>Automate</x:v>
      </x:c>
      <x:c r="K43" s="50" t="str"/>
      <x:c r="L43" s="50" t="str">
        <x:v>Not Run</x:v>
      </x:c>
      <x:c r="M43" s="50" t="str"/>
      <x:c r="N43" s="50" t="str"/>
    </x:row>
    <x:row r="44" ht="72" customHeight="1">
      <x:c r="A44" s="50" t="str">
        <x:v>SBM-010</x:v>
      </x:c>
      <x:c r="B44" s="50" t="str">
        <x:v>Sidebar &amp; Menu</x:v>
      </x:c>
      <x:c r="C44" s="50" t="str">
        <x:v>Cuộn sidebar đến menu cuối</x:v>
      </x:c>
      <x:c r="D44" s="50" t="str">
        <x:v>Có tài khoản hợp lệ; đã đăng nhập CMS; nhóm Vua Thợ được phép truy cập. Đang ở trang Dashboard.</x:v>
      </x:c>
      <x:c r="E44" s="50" t="str">
        <x:v>1. Cuộn riêng vùng menu xuống cuối.
2. Kiểm tra menu Marketing và submenu.
3. Cuộn lại đầu.</x:v>
      </x:c>
      <x:c r="F44" s="50" t="str">
        <x:v>Có thể truy cập toàn bộ menu; không cuộn nhầm main content.</x:v>
      </x:c>
      <x:c r="G44" s="50" t="str">
        <x:v>Medium</x:v>
      </x:c>
      <x:c r="H44" s="50" t="str">
        <x:v>P2</x:v>
      </x:c>
      <x:c r="I44" s="50" t="str">
        <x:v>Navigation</x:v>
      </x:c>
      <x:c r="J44" s="50" t="str">
        <x:v>Automate</x:v>
      </x:c>
      <x:c r="K44" s="50" t="str"/>
      <x:c r="L44" s="50" t="str">
        <x:v>Not Run</x:v>
      </x:c>
      <x:c r="M44" s="50" t="str"/>
      <x:c r="N44" s="50" t="str"/>
    </x:row>
    <x:row r="45" ht="72" customHeight="1">
      <x:c r="A45" s="50" t="str">
        <x:v>SBM-011</x:v>
      </x:c>
      <x:c r="B45" s="50" t="str">
        <x:v>Sidebar &amp; Menu</x:v>
      </x:c>
      <x:c r="C45" s="50" t="str">
        <x:v>Không hiển thị sidebar trùng trên giao diện</x:v>
      </x:c>
      <x:c r="D45" s="50" t="str">
        <x:v>Có tài khoản hợp lệ; đã đăng nhập CMS; nhóm Vua Thợ được phép truy cập. Đang ở trang Dashboard.</x:v>
      </x:c>
      <x:c r="E45" s="50" t="str">
        <x:v>1. Đếm các sidebar displayed.
2. Kiểm tra vị trí/kích thước.</x:v>
      </x:c>
      <x:c r="F45" s="50" t="str">
        <x:v>Chỉ một sidebar được hiển thị và nhận tương tác.</x:v>
      </x:c>
      <x:c r="G45" s="50" t="str">
        <x:v>High</x:v>
      </x:c>
      <x:c r="H45" s="50" t="str">
        <x:v>P1</x:v>
      </x:c>
      <x:c r="I45" s="50" t="str">
        <x:v>UI</x:v>
      </x:c>
      <x:c r="J45" s="50" t="str">
        <x:v>Automate</x:v>
      </x:c>
      <x:c r="K45" s="50" t="str"/>
      <x:c r="L45" s="50" t="str">
        <x:v>Not Run</x:v>
      </x:c>
      <x:c r="M45" s="50" t="str"/>
      <x:c r="N45" s="50" t="str">
        <x:v>OuterHTML có cấu trúc sidebar bị lặp.</x:v>
      </x:c>
    </x:row>
    <x:row r="46" ht="72" customHeight="1">
      <x:c r="A46" s="50" t="str">
        <x:v>SBM-012</x:v>
      </x:c>
      <x:c r="B46" s="50" t="str">
        <x:v>Sidebar &amp; Menu</x:v>
      </x:c>
      <x:c r="C46" s="50" t="str">
        <x:v>Không click menu ẩn/trùng trong DOM</x:v>
      </x:c>
      <x:c r="D46" s="50" t="str">
        <x:v>Có tài khoản hợp lệ; đã đăng nhập CMS; nhóm Vua Thợ được phép truy cập. Đang ở trang Dashboard.</x:v>
      </x:c>
      <x:c r="E46" s="50" t="str">
        <x:v>1. Tìm tất cả link cùng href.
2. Lọc displayed và clickable.
3. Click link hợp lệ.</x:v>
      </x:c>
      <x:c r="F46" s="50" t="str">
        <x:v>Chỉ phần tử visible được click; không phát sinh ElementClickIntercepted do phần tử ẩn.</x:v>
      </x:c>
      <x:c r="G46" s="50" t="str">
        <x:v>High</x:v>
      </x:c>
      <x:c r="H46" s="50" t="str">
        <x:v>P1</x:v>
      </x:c>
      <x:c r="I46" s="50" t="str">
        <x:v>Functional</x:v>
      </x:c>
      <x:c r="J46" s="50" t="str">
        <x:v>Automate</x:v>
      </x:c>
      <x:c r="K46" s="50" t="str"/>
      <x:c r="L46" s="50" t="str">
        <x:v>Not Run</x:v>
      </x:c>
      <x:c r="M46" s="50" t="str"/>
      <x:c r="N46" s="50" t="str"/>
    </x:row>
    <x:row r="47" ht="72" customHeight="1">
      <x:c r="A47" s="50" t="str">
        <x:v>SBM-013</x:v>
      </x:c>
      <x:c r="B47" s="50" t="str">
        <x:v>Sidebar &amp; Menu</x:v>
      </x:c>
      <x:c r="C47" s="50" t="str">
        <x:v>Mở/đóng accordion Người Dùng</x:v>
      </x:c>
      <x:c r="D47" s="50" t="str">
        <x:v>Có tài khoản hợp lệ; đã đăng nhập CMS; nhóm Vua Thợ được phép truy cập. Đang ở trang Dashboard.</x:v>
      </x:c>
      <x:c r="E47" s="50" t="str">
        <x:v>1. Xác định button accordion “Người Dùng”.
2. Đọc aria-expanded.
3. Click để đổi trạng thái.
4. Kiểm tra vùng submenu.</x:v>
      </x:c>
      <x:c r="F47" s="50" t="str">
        <x:v>aria-expanded đổi trạng thái; menu con hiển thị/ẩn đúng. Các submenu hiển thị: Quản Lí Người Dùng, Quản Lí eKYC.</x:v>
      </x:c>
      <x:c r="G47" s="50" t="str">
        <x:v>Medium</x:v>
      </x:c>
      <x:c r="H47" s="50" t="str">
        <x:v>P2</x:v>
      </x:c>
      <x:c r="I47" s="50" t="str">
        <x:v>Navigation</x:v>
      </x:c>
      <x:c r="J47" s="50" t="str">
        <x:v>Automate</x:v>
      </x:c>
      <x:c r="K47" s="50" t="str"/>
      <x:c r="L47" s="50" t="str">
        <x:v>Not Run</x:v>
      </x:c>
      <x:c r="M47" s="50" t="str"/>
      <x:c r="N47" s="50" t="str"/>
    </x:row>
    <x:row r="48" ht="72" customHeight="1">
      <x:c r="A48" s="50" t="str">
        <x:v>SBM-014</x:v>
      </x:c>
      <x:c r="B48" s="50" t="str">
        <x:v>Sidebar &amp; Menu</x:v>
      </x:c>
      <x:c r="C48" s="50" t="str">
        <x:v>Mở/đóng accordion Đối Tác - Thợ</x:v>
      </x:c>
      <x:c r="D48" s="50" t="str">
        <x:v>Có tài khoản hợp lệ; đã đăng nhập CMS; nhóm Vua Thợ được phép truy cập. Đang ở trang Dashboard.</x:v>
      </x:c>
      <x:c r="E48" s="50" t="str">
        <x:v>1. Xác định button accordion “Đối Tác - Thợ”.
2. Đọc aria-expanded.
3. Click để đổi trạng thái.
4. Kiểm tra vùng submenu.</x:v>
      </x:c>
      <x:c r="F48" s="50" t="str">
        <x:v>aria-expanded đổi trạng thái; menu con hiển thị/ẩn đúng. Danh sách submenu phải được xác nhận từ DOM khi menu mở.</x:v>
      </x:c>
      <x:c r="G48" s="50" t="str">
        <x:v>Medium</x:v>
      </x:c>
      <x:c r="H48" s="50" t="str">
        <x:v>P2</x:v>
      </x:c>
      <x:c r="I48" s="50" t="str">
        <x:v>Navigation</x:v>
      </x:c>
      <x:c r="J48" s="50" t="str">
        <x:v>Need more DOM</x:v>
      </x:c>
      <x:c r="K48" s="50" t="str"/>
      <x:c r="L48" s="50" t="str">
        <x:v>Not Run</x:v>
      </x:c>
      <x:c r="M48" s="50" t="str"/>
      <x:c r="N48" s="50" t="str"/>
    </x:row>
    <x:row r="49" ht="72" customHeight="1">
      <x:c r="A49" s="50" t="str">
        <x:v>SBM-015</x:v>
      </x:c>
      <x:c r="B49" s="50" t="str">
        <x:v>Sidebar &amp; Menu</x:v>
      </x:c>
      <x:c r="C49" s="50" t="str">
        <x:v>Mở/đóng accordion Đơn Dịch Vụ</x:v>
      </x:c>
      <x:c r="D49" s="50" t="str">
        <x:v>Có tài khoản hợp lệ; đã đăng nhập CMS; nhóm Vua Thợ được phép truy cập. Đang ở trang Dashboard.</x:v>
      </x:c>
      <x:c r="E49" s="50" t="str">
        <x:v>1. Xác định button accordion “Đơn Dịch Vụ”.
2. Đọc aria-expanded.
3. Click để đổi trạng thái.
4. Kiểm tra vùng submenu.</x:v>
      </x:c>
      <x:c r="F49" s="50" t="str">
        <x:v>aria-expanded đổi trạng thái; menu con hiển thị/ẩn đúng. Danh sách submenu phải được xác nhận từ DOM khi menu mở.</x:v>
      </x:c>
      <x:c r="G49" s="50" t="str">
        <x:v>Medium</x:v>
      </x:c>
      <x:c r="H49" s="50" t="str">
        <x:v>P2</x:v>
      </x:c>
      <x:c r="I49" s="50" t="str">
        <x:v>Navigation</x:v>
      </x:c>
      <x:c r="J49" s="50" t="str">
        <x:v>Need more DOM</x:v>
      </x:c>
      <x:c r="K49" s="50" t="str"/>
      <x:c r="L49" s="50" t="str">
        <x:v>Not Run</x:v>
      </x:c>
      <x:c r="M49" s="50" t="str"/>
      <x:c r="N49" s="50" t="str"/>
    </x:row>
    <x:row r="50" ht="72" customHeight="1">
      <x:c r="A50" s="50" t="str">
        <x:v>SBM-016</x:v>
      </x:c>
      <x:c r="B50" s="50" t="str">
        <x:v>Sidebar &amp; Menu</x:v>
      </x:c>
      <x:c r="C50" s="50" t="str">
        <x:v>Mở/đóng accordion Đồng Phục</x:v>
      </x:c>
      <x:c r="D50" s="50" t="str">
        <x:v>Có tài khoản hợp lệ; đã đăng nhập CMS; nhóm Vua Thợ được phép truy cập. Đang ở trang Dashboard.</x:v>
      </x:c>
      <x:c r="E50" s="50" t="str">
        <x:v>1. Xác định button accordion “Đồng Phục”.
2. Đọc aria-expanded.
3. Click để đổi trạng thái.
4. Kiểm tra vùng submenu.</x:v>
      </x:c>
      <x:c r="F50" s="50" t="str">
        <x:v>aria-expanded đổi trạng thái; menu con hiển thị/ẩn đúng. Danh sách submenu phải được xác nhận từ DOM khi menu mở.</x:v>
      </x:c>
      <x:c r="G50" s="50" t="str">
        <x:v>Medium</x:v>
      </x:c>
      <x:c r="H50" s="50" t="str">
        <x:v>P2</x:v>
      </x:c>
      <x:c r="I50" s="50" t="str">
        <x:v>Navigation</x:v>
      </x:c>
      <x:c r="J50" s="50" t="str">
        <x:v>Need more DOM</x:v>
      </x:c>
      <x:c r="K50" s="50" t="str"/>
      <x:c r="L50" s="50" t="str">
        <x:v>Not Run</x:v>
      </x:c>
      <x:c r="M50" s="50" t="str"/>
      <x:c r="N50" s="50" t="str"/>
    </x:row>
    <x:row r="51" ht="72" customHeight="1">
      <x:c r="A51" s="50" t="str">
        <x:v>SBM-017</x:v>
      </x:c>
      <x:c r="B51" s="50" t="str">
        <x:v>Sidebar &amp; Menu</x:v>
      </x:c>
      <x:c r="C51" s="50" t="str">
        <x:v>Mở/đóng accordion Giao Dịch</x:v>
      </x:c>
      <x:c r="D51" s="50" t="str">
        <x:v>Có tài khoản hợp lệ; đã đăng nhập CMS; nhóm Vua Thợ được phép truy cập. Đang ở trang Dashboard.</x:v>
      </x:c>
      <x:c r="E51" s="50" t="str">
        <x:v>1. Xác định button accordion “Giao Dịch”.
2. Đọc aria-expanded.
3. Click để đổi trạng thái.
4. Kiểm tra vùng submenu.</x:v>
      </x:c>
      <x:c r="F51" s="50" t="str">
        <x:v>aria-expanded đổi trạng thái; menu con hiển thị/ẩn đúng. Danh sách submenu phải được xác nhận từ DOM khi menu mở.</x:v>
      </x:c>
      <x:c r="G51" s="50" t="str">
        <x:v>Medium</x:v>
      </x:c>
      <x:c r="H51" s="50" t="str">
        <x:v>P2</x:v>
      </x:c>
      <x:c r="I51" s="50" t="str">
        <x:v>Navigation</x:v>
      </x:c>
      <x:c r="J51" s="50" t="str">
        <x:v>Need more DOM</x:v>
      </x:c>
      <x:c r="K51" s="50" t="str"/>
      <x:c r="L51" s="50" t="str">
        <x:v>Not Run</x:v>
      </x:c>
      <x:c r="M51" s="50" t="str"/>
      <x:c r="N51" s="50" t="str"/>
    </x:row>
    <x:row r="52" ht="72" customHeight="1">
      <x:c r="A52" s="50" t="str">
        <x:v>SBM-018</x:v>
      </x:c>
      <x:c r="B52" s="50" t="str">
        <x:v>Sidebar &amp; Menu</x:v>
      </x:c>
      <x:c r="C52" s="50" t="str">
        <x:v>Mở/đóng accordion Website</x:v>
      </x:c>
      <x:c r="D52" s="50" t="str">
        <x:v>Có tài khoản hợp lệ; đã đăng nhập CMS; nhóm Vua Thợ được phép truy cập. Đang ở trang Dashboard.</x:v>
      </x:c>
      <x:c r="E52" s="50" t="str">
        <x:v>1. Xác định button accordion “Website”.
2. Đọc aria-expanded.
3. Click để đổi trạng thái.
4. Kiểm tra vùng submenu.</x:v>
      </x:c>
      <x:c r="F52" s="50" t="str">
        <x:v>aria-expanded đổi trạng thái; menu con hiển thị/ẩn đúng. Danh sách submenu phải được xác nhận từ DOM khi menu mở.</x:v>
      </x:c>
      <x:c r="G52" s="50" t="str">
        <x:v>Medium</x:v>
      </x:c>
      <x:c r="H52" s="50" t="str">
        <x:v>P2</x:v>
      </x:c>
      <x:c r="I52" s="50" t="str">
        <x:v>Navigation</x:v>
      </x:c>
      <x:c r="J52" s="50" t="str">
        <x:v>Need more DOM</x:v>
      </x:c>
      <x:c r="K52" s="50" t="str"/>
      <x:c r="L52" s="50" t="str">
        <x:v>Not Run</x:v>
      </x:c>
      <x:c r="M52" s="50" t="str"/>
      <x:c r="N52" s="50" t="str"/>
    </x:row>
    <x:row r="53" ht="72" customHeight="1">
      <x:c r="A53" s="50" t="str">
        <x:v>SBM-019</x:v>
      </x:c>
      <x:c r="B53" s="50" t="str">
        <x:v>Sidebar &amp; Menu</x:v>
      </x:c>
      <x:c r="C53" s="50" t="str">
        <x:v>Mở/đóng accordion App</x:v>
      </x:c>
      <x:c r="D53" s="50" t="str">
        <x:v>Có tài khoản hợp lệ; đã đăng nhập CMS; nhóm Vua Thợ được phép truy cập. Đang ở trang Dashboard.</x:v>
      </x:c>
      <x:c r="E53" s="50" t="str">
        <x:v>1. Xác định button accordion “App”.
2. Đọc aria-expanded.
3. Click để đổi trạng thái.
4. Kiểm tra vùng submenu.</x:v>
      </x:c>
      <x:c r="F53" s="50" t="str">
        <x:v>aria-expanded đổi trạng thái; menu con hiển thị/ẩn đúng. Danh sách submenu phải được xác nhận từ DOM khi menu mở.</x:v>
      </x:c>
      <x:c r="G53" s="50" t="str">
        <x:v>Medium</x:v>
      </x:c>
      <x:c r="H53" s="50" t="str">
        <x:v>P2</x:v>
      </x:c>
      <x:c r="I53" s="50" t="str">
        <x:v>Navigation</x:v>
      </x:c>
      <x:c r="J53" s="50" t="str">
        <x:v>Need more DOM</x:v>
      </x:c>
      <x:c r="K53" s="50" t="str"/>
      <x:c r="L53" s="50" t="str">
        <x:v>Not Run</x:v>
      </x:c>
      <x:c r="M53" s="50" t="str"/>
      <x:c r="N53" s="50" t="str"/>
    </x:row>
    <x:row r="54" ht="72" customHeight="1">
      <x:c r="A54" s="50" t="str">
        <x:v>SBM-020</x:v>
      </x:c>
      <x:c r="B54" s="50" t="str">
        <x:v>Sidebar &amp; Menu</x:v>
      </x:c>
      <x:c r="C54" s="50" t="str">
        <x:v>Mở/đóng accordion System</x:v>
      </x:c>
      <x:c r="D54" s="50" t="str">
        <x:v>Có tài khoản hợp lệ; đã đăng nhập CMS; nhóm Vua Thợ được phép truy cập. Đang ở trang Dashboard.</x:v>
      </x:c>
      <x:c r="E54" s="50" t="str">
        <x:v>1. Xác định button accordion “System”.
2. Đọc aria-expanded.
3. Click để đổi trạng thái.
4. Kiểm tra vùng submenu.</x:v>
      </x:c>
      <x:c r="F54" s="50" t="str">
        <x:v>aria-expanded đổi trạng thái; menu con hiển thị/ẩn đúng. Các submenu hiển thị: Quản Lí AI, Quản Lí Mạng Xã Hội.</x:v>
      </x:c>
      <x:c r="G54" s="50" t="str">
        <x:v>Medium</x:v>
      </x:c>
      <x:c r="H54" s="50" t="str">
        <x:v>P2</x:v>
      </x:c>
      <x:c r="I54" s="50" t="str">
        <x:v>Navigation</x:v>
      </x:c>
      <x:c r="J54" s="50" t="str">
        <x:v>Automate</x:v>
      </x:c>
      <x:c r="K54" s="50" t="str"/>
      <x:c r="L54" s="50" t="str">
        <x:v>Not Run</x:v>
      </x:c>
      <x:c r="M54" s="50" t="str"/>
      <x:c r="N54" s="50" t="str"/>
    </x:row>
    <x:row r="55" ht="72" customHeight="1">
      <x:c r="A55" s="50" t="str">
        <x:v>SBM-021</x:v>
      </x:c>
      <x:c r="B55" s="50" t="str">
        <x:v>Sidebar &amp; Menu</x:v>
      </x:c>
      <x:c r="C55" s="50" t="str">
        <x:v>Mở/đóng accordion Marketing</x:v>
      </x:c>
      <x:c r="D55" s="50" t="str">
        <x:v>Có tài khoản hợp lệ; đã đăng nhập CMS; nhóm Vua Thợ được phép truy cập. Đang ở trang Dashboard.</x:v>
      </x:c>
      <x:c r="E55" s="50" t="str">
        <x:v>1. Xác định button accordion “Marketing”.
2. Đọc aria-expanded.
3. Click để đổi trạng thái.
4. Kiểm tra vùng submenu.</x:v>
      </x:c>
      <x:c r="F55" s="50" t="str">
        <x:v>aria-expanded đổi trạng thái; menu con hiển thị/ẩn đúng. Các submenu hiển thị: Hiệu suất Marketing, Chương Trình Khuyến Mãi, Quản Lí Chiến Dịch, Quản Lí Cuộc Thi, Tỏa Sáng Vua Thợ, Quản Lí Vua Thợ Care, Yêu Cầu Hỗ Trợ (SOS).</x:v>
      </x:c>
      <x:c r="G55" s="50" t="str">
        <x:v>Medium</x:v>
      </x:c>
      <x:c r="H55" s="50" t="str">
        <x:v>P2</x:v>
      </x:c>
      <x:c r="I55" s="50" t="str">
        <x:v>Navigation</x:v>
      </x:c>
      <x:c r="J55" s="50" t="str">
        <x:v>Automate</x:v>
      </x:c>
      <x:c r="K55" s="50" t="str"/>
      <x:c r="L55" s="50" t="str">
        <x:v>Not Run</x:v>
      </x:c>
      <x:c r="M55" s="50" t="str"/>
      <x:c r="N55" s="50" t="str"/>
    </x:row>
    <x:row r="56" ht="72" customHeight="1">
      <x:c r="A56" s="50" t="str">
        <x:v>SBM-022</x:v>
      </x:c>
      <x:c r="B56" s="50" t="str">
        <x:v>Sidebar &amp; Menu</x:v>
      </x:c>
      <x:c r="C56" s="50" t="str">
        <x:v>Điều hướng menu Dashboard</x:v>
      </x:c>
      <x:c r="D56" s="50" t="str">
        <x:v>Có tài khoản hợp lệ; đã đăng nhập CMS; nhóm Vua Thợ được phép truy cập. Đang ở trang Dashboard.</x:v>
      </x:c>
      <x:c r="E56" s="50" t="str">
        <x:v>1. Mở parent menu nếu cần.
2. Click link “{name}”.
3. Chờ URL/main content thay đổi.
4. Kiểm tra lỗi trang và session.</x:v>
      </x:c>
      <x:c r="F56" s="50" t="str">
        <x:v>URL chứa '/vuatho/dashboard'; trang đích tải thành công; không 404/500/trắng trang; không logout.</x:v>
      </x:c>
      <x:c r="G56" s="50" t="str">
        <x:v>High</x:v>
      </x:c>
      <x:c r="H56" s="50" t="str">
        <x:v>P1</x:v>
      </x:c>
      <x:c r="I56" s="50" t="str">
        <x:v>Navigation</x:v>
      </x:c>
      <x:c r="J56" s="50" t="str">
        <x:v>Automate</x:v>
      </x:c>
      <x:c r="K56" s="50" t="str"/>
      <x:c r="L56" s="50" t="str">
        <x:v>Not Run</x:v>
      </x:c>
      <x:c r="M56" s="50" t="str"/>
      <x:c r="N56" s="50" t="str">
        <x:v>DOM href=/vuatho/dashboard</x:v>
      </x:c>
    </x:row>
    <x:row r="57" ht="72" customHeight="1">
      <x:c r="A57" s="50" t="str">
        <x:v>SBM-023</x:v>
      </x:c>
      <x:c r="B57" s="50" t="str">
        <x:v>Sidebar &amp; Menu</x:v>
      </x:c>
      <x:c r="C57" s="50" t="str">
        <x:v>Điều hướng menu Hiệu Quả Nguồn Thợ &amp; Chi Phí</x:v>
      </x:c>
      <x:c r="D57" s="50" t="str">
        <x:v>Có tài khoản hợp lệ; đã đăng nhập CMS; nhóm Vua Thợ được phép truy cập. Đang ở trang Dashboard.</x:v>
      </x:c>
      <x:c r="E57" s="50" t="str">
        <x:v>1. Mở parent menu nếu cần.
2. Click link “{name}”.
3. Chờ URL/main content thay đổi.
4. Kiểm tra lỗi trang và session.</x:v>
      </x:c>
      <x:c r="F57" s="50" t="str">
        <x:v>URL chứa '/vuatho/supply-performance'; trang đích tải thành công; không 404/500/trắng trang; không logout.</x:v>
      </x:c>
      <x:c r="G57" s="50" t="str">
        <x:v>High</x:v>
      </x:c>
      <x:c r="H57" s="50" t="str">
        <x:v>P1</x:v>
      </x:c>
      <x:c r="I57" s="50" t="str">
        <x:v>Navigation</x:v>
      </x:c>
      <x:c r="J57" s="50" t="str">
        <x:v>Automate</x:v>
      </x:c>
      <x:c r="K57" s="50" t="str"/>
      <x:c r="L57" s="50" t="str">
        <x:v>Not Run</x:v>
      </x:c>
      <x:c r="M57" s="50" t="str"/>
      <x:c r="N57" s="50" t="str">
        <x:v>DOM href=/vuatho/supply-performance</x:v>
      </x:c>
    </x:row>
    <x:row r="58" ht="72" customHeight="1">
      <x:c r="A58" s="50" t="str">
        <x:v>SBM-024</x:v>
      </x:c>
      <x:c r="B58" s="50" t="str">
        <x:v>Sidebar &amp; Menu</x:v>
      </x:c>
      <x:c r="C58" s="50" t="str">
        <x:v>Điều hướng menu Tài chính</x:v>
      </x:c>
      <x:c r="D58" s="50" t="str">
        <x:v>Có tài khoản hợp lệ; đã đăng nhập CMS; nhóm Vua Thợ được phép truy cập. Đang ở trang Dashboard.</x:v>
      </x:c>
      <x:c r="E58" s="50" t="str">
        <x:v>1. Mở parent menu nếu cần.
2. Click link “{name}”.
3. Chờ URL/main content thay đổi.
4. Kiểm tra lỗi trang và session.</x:v>
      </x:c>
      <x:c r="F58" s="50" t="str">
        <x:v>URL chứa '/vuatho/finance'; trang đích tải thành công; không 404/500/trắng trang; không logout.</x:v>
      </x:c>
      <x:c r="G58" s="50" t="str">
        <x:v>High</x:v>
      </x:c>
      <x:c r="H58" s="50" t="str">
        <x:v>P1</x:v>
      </x:c>
      <x:c r="I58" s="50" t="str">
        <x:v>Navigation</x:v>
      </x:c>
      <x:c r="J58" s="50" t="str">
        <x:v>Automate</x:v>
      </x:c>
      <x:c r="K58" s="50" t="str"/>
      <x:c r="L58" s="50" t="str">
        <x:v>Not Run</x:v>
      </x:c>
      <x:c r="M58" s="50" t="str"/>
      <x:c r="N58" s="50" t="str">
        <x:v>DOM href=/vuatho/finance</x:v>
      </x:c>
    </x:row>
    <x:row r="59" ht="72" customHeight="1">
      <x:c r="A59" s="50" t="str">
        <x:v>SBM-025</x:v>
      </x:c>
      <x:c r="B59" s="50" t="str">
        <x:v>Sidebar &amp; Menu</x:v>
      </x:c>
      <x:c r="C59" s="50" t="str">
        <x:v>Điều hướng menu Quản Lí Người Dùng</x:v>
      </x:c>
      <x:c r="D59" s="50" t="str">
        <x:v>Có tài khoản hợp lệ; đã đăng nhập CMS; nhóm Vua Thợ được phép truy cập. Đang ở trang Dashboard.</x:v>
      </x:c>
      <x:c r="E59" s="50" t="str">
        <x:v>1. Mở parent menu nếu cần.
2. Click link “{name}”.
3. Chờ URL/main content thay đổi.
4. Kiểm tra lỗi trang và session.</x:v>
      </x:c>
      <x:c r="F59" s="50" t="str">
        <x:v>URL chứa '/vuatho/user'; trang đích tải thành công; không 404/500/trắng trang; không logout.</x:v>
      </x:c>
      <x:c r="G59" s="50" t="str">
        <x:v>High</x:v>
      </x:c>
      <x:c r="H59" s="50" t="str">
        <x:v>P1</x:v>
      </x:c>
      <x:c r="I59" s="50" t="str">
        <x:v>Navigation</x:v>
      </x:c>
      <x:c r="J59" s="50" t="str">
        <x:v>Automate</x:v>
      </x:c>
      <x:c r="K59" s="50" t="str"/>
      <x:c r="L59" s="50" t="str">
        <x:v>Not Run</x:v>
      </x:c>
      <x:c r="M59" s="50" t="str"/>
      <x:c r="N59" s="50" t="str">
        <x:v>DOM href=/vuatho/user</x:v>
      </x:c>
    </x:row>
    <x:row r="60" ht="72" customHeight="1">
      <x:c r="A60" s="50" t="str">
        <x:v>SBM-026</x:v>
      </x:c>
      <x:c r="B60" s="50" t="str">
        <x:v>Sidebar &amp; Menu</x:v>
      </x:c>
      <x:c r="C60" s="50" t="str">
        <x:v>Điều hướng menu Quản Lí eKYC</x:v>
      </x:c>
      <x:c r="D60" s="50" t="str">
        <x:v>Có tài khoản hợp lệ; đã đăng nhập CMS; nhóm Vua Thợ được phép truy cập. Đang ở trang Dashboard.</x:v>
      </x:c>
      <x:c r="E60" s="50" t="str">
        <x:v>1. Mở parent menu nếu cần.
2. Click link “{name}”.
3. Chờ URL/main content thay đổi.
4. Kiểm tra lỗi trang và session.</x:v>
      </x:c>
      <x:c r="F60" s="50" t="str">
        <x:v>URL chứa '/vuatho/ekyc'; trang đích tải thành công; không 404/500/trắng trang; không logout.</x:v>
      </x:c>
      <x:c r="G60" s="50" t="str">
        <x:v>High</x:v>
      </x:c>
      <x:c r="H60" s="50" t="str">
        <x:v>P1</x:v>
      </x:c>
      <x:c r="I60" s="50" t="str">
        <x:v>Navigation</x:v>
      </x:c>
      <x:c r="J60" s="50" t="str">
        <x:v>Automate</x:v>
      </x:c>
      <x:c r="K60" s="50" t="str"/>
      <x:c r="L60" s="50" t="str">
        <x:v>Not Run</x:v>
      </x:c>
      <x:c r="M60" s="50" t="str"/>
      <x:c r="N60" s="50" t="str">
        <x:v>DOM href=/vuatho/ekyc</x:v>
      </x:c>
    </x:row>
    <x:row r="61" ht="72" customHeight="1">
      <x:c r="A61" s="50" t="str">
        <x:v>SBM-027</x:v>
      </x:c>
      <x:c r="B61" s="50" t="str">
        <x:v>Sidebar &amp; Menu</x:v>
      </x:c>
      <x:c r="C61" s="50" t="str">
        <x:v>Điều hướng menu Bài Kiểm Tra</x:v>
      </x:c>
      <x:c r="D61" s="50" t="str">
        <x:v>Có tài khoản hợp lệ; đã đăng nhập CMS; nhóm Vua Thợ được phép truy cập. Đang ở trang Dashboard.</x:v>
      </x:c>
      <x:c r="E61" s="50" t="str">
        <x:v>1. Mở parent menu nếu cần.
2. Click link “{name}”.
3. Chờ URL/main content thay đổi.
4. Kiểm tra lỗi trang và session.</x:v>
      </x:c>
      <x:c r="F61" s="50" t="str">
        <x:v>URL chứa '/vuatho/tested'; trang đích tải thành công; không 404/500/trắng trang; không logout.</x:v>
      </x:c>
      <x:c r="G61" s="50" t="str">
        <x:v>High</x:v>
      </x:c>
      <x:c r="H61" s="50" t="str">
        <x:v>P1</x:v>
      </x:c>
      <x:c r="I61" s="50" t="str">
        <x:v>Navigation</x:v>
      </x:c>
      <x:c r="J61" s="50" t="str">
        <x:v>Automate</x:v>
      </x:c>
      <x:c r="K61" s="50" t="str"/>
      <x:c r="L61" s="50" t="str">
        <x:v>Not Run</x:v>
      </x:c>
      <x:c r="M61" s="50" t="str"/>
      <x:c r="N61" s="50" t="str">
        <x:v>DOM href=/vuatho/tested</x:v>
      </x:c>
    </x:row>
    <x:row r="62" ht="72" customHeight="1">
      <x:c r="A62" s="50" t="str">
        <x:v>SBM-028</x:v>
      </x:c>
      <x:c r="B62" s="50" t="str">
        <x:v>Sidebar &amp; Menu</x:v>
      </x:c>
      <x:c r="C62" s="50" t="str">
        <x:v>Điều hướng menu Nghiệp Vụ</x:v>
      </x:c>
      <x:c r="D62" s="50" t="str">
        <x:v>Có tài khoản hợp lệ; đã đăng nhập CMS; nhóm Vua Thợ được phép truy cập. Đang ở trang Dashboard.</x:v>
      </x:c>
      <x:c r="E62" s="50" t="str">
        <x:v>1. Mở parent menu nếu cần.
2. Click link “{name}”.
3. Chờ URL/main content thay đổi.
4. Kiểm tra lỗi trang và session.</x:v>
      </x:c>
      <x:c r="F62" s="50" t="str">
        <x:v>URL chứa '/vuatho/service'; trang đích tải thành công; không 404/500/trắng trang; không logout.</x:v>
      </x:c>
      <x:c r="G62" s="50" t="str">
        <x:v>High</x:v>
      </x:c>
      <x:c r="H62" s="50" t="str">
        <x:v>P1</x:v>
      </x:c>
      <x:c r="I62" s="50" t="str">
        <x:v>Navigation</x:v>
      </x:c>
      <x:c r="J62" s="50" t="str">
        <x:v>Automate</x:v>
      </x:c>
      <x:c r="K62" s="50" t="str"/>
      <x:c r="L62" s="50" t="str">
        <x:v>Not Run</x:v>
      </x:c>
      <x:c r="M62" s="50" t="str"/>
      <x:c r="N62" s="50" t="str">
        <x:v>DOM href=/vuatho/service</x:v>
      </x:c>
    </x:row>
    <x:row r="63" ht="72" customHeight="1">
      <x:c r="A63" s="50" t="str">
        <x:v>SBM-029</x:v>
      </x:c>
      <x:c r="B63" s="50" t="str">
        <x:v>Sidebar &amp; Menu</x:v>
      </x:c>
      <x:c r="C63" s="50" t="str">
        <x:v>Điều hướng menu Quản Lí AI</x:v>
      </x:c>
      <x:c r="D63" s="50" t="str">
        <x:v>Có tài khoản hợp lệ; đã đăng nhập CMS; nhóm Vua Thợ được phép truy cập. Đang ở trang Dashboard.</x:v>
      </x:c>
      <x:c r="E63" s="50" t="str">
        <x:v>1. Mở parent menu nếu cần.
2. Click link “{name}”.
3. Chờ URL/main content thay đổi.
4. Kiểm tra lỗi trang và session.</x:v>
      </x:c>
      <x:c r="F63" s="50" t="str">
        <x:v>URL chứa '/vuatho/model-AI'; trang đích tải thành công; không 404/500/trắng trang; không logout.</x:v>
      </x:c>
      <x:c r="G63" s="50" t="str">
        <x:v>High</x:v>
      </x:c>
      <x:c r="H63" s="50" t="str">
        <x:v>P1</x:v>
      </x:c>
      <x:c r="I63" s="50" t="str">
        <x:v>Navigation</x:v>
      </x:c>
      <x:c r="J63" s="50" t="str">
        <x:v>Automate</x:v>
      </x:c>
      <x:c r="K63" s="50" t="str"/>
      <x:c r="L63" s="50" t="str">
        <x:v>Not Run</x:v>
      </x:c>
      <x:c r="M63" s="50" t="str"/>
      <x:c r="N63" s="50" t="str">
        <x:v>DOM href=/vuatho/model-AI</x:v>
      </x:c>
    </x:row>
    <x:row r="64" ht="72" customHeight="1">
      <x:c r="A64" s="50" t="str">
        <x:v>SBM-030</x:v>
      </x:c>
      <x:c r="B64" s="50" t="str">
        <x:v>Sidebar &amp; Menu</x:v>
      </x:c>
      <x:c r="C64" s="50" t="str">
        <x:v>Điều hướng menu Quản Lí Mạng Xã Hội</x:v>
      </x:c>
      <x:c r="D64" s="50" t="str">
        <x:v>Có tài khoản hợp lệ; đã đăng nhập CMS; nhóm Vua Thợ được phép truy cập. Đang ở trang Dashboard.</x:v>
      </x:c>
      <x:c r="E64" s="50" t="str">
        <x:v>1. Mở parent menu nếu cần.
2. Click link “{name}”.
3. Chờ URL/main content thay đổi.
4. Kiểm tra lỗi trang và session.</x:v>
      </x:c>
      <x:c r="F64" s="50" t="str">
        <x:v>URL chứa '/vuatho/social-network'; trang đích tải thành công; không 404/500/trắng trang; không logout.</x:v>
      </x:c>
      <x:c r="G64" s="50" t="str">
        <x:v>High</x:v>
      </x:c>
      <x:c r="H64" s="50" t="str">
        <x:v>P1</x:v>
      </x:c>
      <x:c r="I64" s="50" t="str">
        <x:v>Navigation</x:v>
      </x:c>
      <x:c r="J64" s="50" t="str">
        <x:v>Automate</x:v>
      </x:c>
      <x:c r="K64" s="50" t="str"/>
      <x:c r="L64" s="50" t="str">
        <x:v>Not Run</x:v>
      </x:c>
      <x:c r="M64" s="50" t="str"/>
      <x:c r="N64" s="50" t="str">
        <x:v>DOM href=/vuatho/social-network</x:v>
      </x:c>
    </x:row>
    <x:row r="65" ht="72" customHeight="1">
      <x:c r="A65" s="50" t="str">
        <x:v>SBM-031</x:v>
      </x:c>
      <x:c r="B65" s="50" t="str">
        <x:v>Sidebar &amp; Menu</x:v>
      </x:c>
      <x:c r="C65" s="50" t="str">
        <x:v>Điều hướng menu Hiệu suất Marketing</x:v>
      </x:c>
      <x:c r="D65" s="50" t="str">
        <x:v>Có tài khoản hợp lệ; đã đăng nhập CMS; nhóm Vua Thợ được phép truy cập. Đang ở trang Dashboard.</x:v>
      </x:c>
      <x:c r="E65" s="50" t="str">
        <x:v>1. Mở parent menu nếu cần.
2. Click link “{name}”.
3. Chờ URL/main content thay đổi.
4. Kiểm tra lỗi trang và session.</x:v>
      </x:c>
      <x:c r="F65" s="50" t="str">
        <x:v>URL chứa '/vuatho/marketing-statistic'; trang đích tải thành công; không 404/500/trắng trang; không logout.</x:v>
      </x:c>
      <x:c r="G65" s="50" t="str">
        <x:v>High</x:v>
      </x:c>
      <x:c r="H65" s="50" t="str">
        <x:v>P1</x:v>
      </x:c>
      <x:c r="I65" s="50" t="str">
        <x:v>Navigation</x:v>
      </x:c>
      <x:c r="J65" s="50" t="str">
        <x:v>Automate</x:v>
      </x:c>
      <x:c r="K65" s="50" t="str"/>
      <x:c r="L65" s="50" t="str">
        <x:v>Not Run</x:v>
      </x:c>
      <x:c r="M65" s="50" t="str"/>
      <x:c r="N65" s="50" t="str">
        <x:v>DOM href=/vuatho/marketing-statistic</x:v>
      </x:c>
    </x:row>
    <x:row r="66" ht="72" customHeight="1">
      <x:c r="A66" s="50" t="str">
        <x:v>SBM-032</x:v>
      </x:c>
      <x:c r="B66" s="50" t="str">
        <x:v>Sidebar &amp; Menu</x:v>
      </x:c>
      <x:c r="C66" s="50" t="str">
        <x:v>Điều hướng menu Chương Trình Khuyến Mãi</x:v>
      </x:c>
      <x:c r="D66" s="50" t="str">
        <x:v>Có tài khoản hợp lệ; đã đăng nhập CMS; nhóm Vua Thợ được phép truy cập. Đang ở trang Dashboard.</x:v>
      </x:c>
      <x:c r="E66" s="50" t="str">
        <x:v>1. Mở parent menu nếu cần.
2. Click link “{name}”.
3. Chờ URL/main content thay đổi.
4. Kiểm tra lỗi trang và session.</x:v>
      </x:c>
      <x:c r="F66" s="50" t="str">
        <x:v>URL chứa '/vuatho/statistic-promotion'; trang đích tải thành công; không 404/500/trắng trang; không logout.</x:v>
      </x:c>
      <x:c r="G66" s="50" t="str">
        <x:v>High</x:v>
      </x:c>
      <x:c r="H66" s="50" t="str">
        <x:v>P1</x:v>
      </x:c>
      <x:c r="I66" s="50" t="str">
        <x:v>Navigation</x:v>
      </x:c>
      <x:c r="J66" s="50" t="str">
        <x:v>Automate</x:v>
      </x:c>
      <x:c r="K66" s="50" t="str"/>
      <x:c r="L66" s="50" t="str">
        <x:v>Not Run</x:v>
      </x:c>
      <x:c r="M66" s="50" t="str"/>
      <x:c r="N66" s="50" t="str">
        <x:v>DOM href=/vuatho/statistic-promotion</x:v>
      </x:c>
    </x:row>
    <x:row r="67" ht="72" customHeight="1">
      <x:c r="A67" s="50" t="str">
        <x:v>SBM-033</x:v>
      </x:c>
      <x:c r="B67" s="50" t="str">
        <x:v>Sidebar &amp; Menu</x:v>
      </x:c>
      <x:c r="C67" s="50" t="str">
        <x:v>Điều hướng menu Quản Lí Chiến Dịch</x:v>
      </x:c>
      <x:c r="D67" s="50" t="str">
        <x:v>Có tài khoản hợp lệ; đã đăng nhập CMS; nhóm Vua Thợ được phép truy cập. Đang ở trang Dashboard.</x:v>
      </x:c>
      <x:c r="E67" s="50" t="str">
        <x:v>1. Mở parent menu nếu cần.
2. Click link “{name}”.
3. Chờ URL/main content thay đổi.
4. Kiểm tra lỗi trang và session.</x:v>
      </x:c>
      <x:c r="F67" s="50" t="str">
        <x:v>URL chứa '/vuatho/campaigns'; trang đích tải thành công; không 404/500/trắng trang; không logout.</x:v>
      </x:c>
      <x:c r="G67" s="50" t="str">
        <x:v>High</x:v>
      </x:c>
      <x:c r="H67" s="50" t="str">
        <x:v>P1</x:v>
      </x:c>
      <x:c r="I67" s="50" t="str">
        <x:v>Navigation</x:v>
      </x:c>
      <x:c r="J67" s="50" t="str">
        <x:v>Automate</x:v>
      </x:c>
      <x:c r="K67" s="50" t="str"/>
      <x:c r="L67" s="50" t="str">
        <x:v>Not Run</x:v>
      </x:c>
      <x:c r="M67" s="50" t="str"/>
      <x:c r="N67" s="50" t="str">
        <x:v>DOM href=/vuatho/campaigns</x:v>
      </x:c>
    </x:row>
    <x:row r="68" ht="72" customHeight="1">
      <x:c r="A68" s="50" t="str">
        <x:v>SBM-034</x:v>
      </x:c>
      <x:c r="B68" s="50" t="str">
        <x:v>Sidebar &amp; Menu</x:v>
      </x:c>
      <x:c r="C68" s="50" t="str">
        <x:v>Điều hướng menu Quản Lí Cuộc Thi</x:v>
      </x:c>
      <x:c r="D68" s="50" t="str">
        <x:v>Có tài khoản hợp lệ; đã đăng nhập CMS; nhóm Vua Thợ được phép truy cập. Đang ở trang Dashboard.</x:v>
      </x:c>
      <x:c r="E68" s="50" t="str">
        <x:v>1. Mở parent menu nếu cần.
2. Click link “{name}”.
3. Chờ URL/main content thay đổi.
4. Kiểm tra lỗi trang và session.</x:v>
      </x:c>
      <x:c r="F68" s="50" t="str">
        <x:v>URL chứa '/vuatho/competition'; trang đích tải thành công; không 404/500/trắng trang; không logout.</x:v>
      </x:c>
      <x:c r="G68" s="50" t="str">
        <x:v>High</x:v>
      </x:c>
      <x:c r="H68" s="50" t="str">
        <x:v>P1</x:v>
      </x:c>
      <x:c r="I68" s="50" t="str">
        <x:v>Navigation</x:v>
      </x:c>
      <x:c r="J68" s="50" t="str">
        <x:v>Automate</x:v>
      </x:c>
      <x:c r="K68" s="50" t="str"/>
      <x:c r="L68" s="50" t="str">
        <x:v>Not Run</x:v>
      </x:c>
      <x:c r="M68" s="50" t="str"/>
      <x:c r="N68" s="50" t="str">
        <x:v>DOM href=/vuatho/competition</x:v>
      </x:c>
    </x:row>
    <x:row r="69" ht="72" customHeight="1">
      <x:c r="A69" s="50" t="str">
        <x:v>SBM-035</x:v>
      </x:c>
      <x:c r="B69" s="50" t="str">
        <x:v>Sidebar &amp; Menu</x:v>
      </x:c>
      <x:c r="C69" s="50" t="str">
        <x:v>Điều hướng menu Tỏa Sáng Vua Thợ</x:v>
      </x:c>
      <x:c r="D69" s="50" t="str">
        <x:v>Có tài khoản hợp lệ; đã đăng nhập CMS; nhóm Vua Thợ được phép truy cập. Đang ở trang Dashboard.</x:v>
      </x:c>
      <x:c r="E69" s="50" t="str">
        <x:v>1. Mở parent menu nếu cần.
2. Click link “{name}”.
3. Chờ URL/main content thay đổi.
4. Kiểm tra lỗi trang và session.</x:v>
      </x:c>
      <x:c r="F69" s="50" t="str">
        <x:v>URL chứa '/vuatho/toasangvuatho'; trang đích tải thành công; không 404/500/trắng trang; không logout.</x:v>
      </x:c>
      <x:c r="G69" s="50" t="str">
        <x:v>High</x:v>
      </x:c>
      <x:c r="H69" s="50" t="str">
        <x:v>P1</x:v>
      </x:c>
      <x:c r="I69" s="50" t="str">
        <x:v>Navigation</x:v>
      </x:c>
      <x:c r="J69" s="50" t="str">
        <x:v>Automate</x:v>
      </x:c>
      <x:c r="K69" s="50" t="str"/>
      <x:c r="L69" s="50" t="str">
        <x:v>Not Run</x:v>
      </x:c>
      <x:c r="M69" s="50" t="str"/>
      <x:c r="N69" s="50" t="str">
        <x:v>DOM href=/vuatho/toasangvuatho</x:v>
      </x:c>
    </x:row>
    <x:row r="70" ht="72" customHeight="1">
      <x:c r="A70" s="50" t="str">
        <x:v>SBM-036</x:v>
      </x:c>
      <x:c r="B70" s="50" t="str">
        <x:v>Sidebar &amp; Menu</x:v>
      </x:c>
      <x:c r="C70" s="50" t="str">
        <x:v>Điều hướng menu Quản Lí Vua Thợ Care</x:v>
      </x:c>
      <x:c r="D70" s="50" t="str">
        <x:v>Có tài khoản hợp lệ; đã đăng nhập CMS; nhóm Vua Thợ được phép truy cập. Đang ở trang Dashboard.</x:v>
      </x:c>
      <x:c r="E70" s="50" t="str">
        <x:v>1. Mở parent menu nếu cần.
2. Click link “{name}”.
3. Chờ URL/main content thay đổi.
4. Kiểm tra lỗi trang và session.</x:v>
      </x:c>
      <x:c r="F70" s="50" t="str">
        <x:v>URL chứa '/vuatho/insurance'; trang đích tải thành công; không 404/500/trắng trang; không logout.</x:v>
      </x:c>
      <x:c r="G70" s="50" t="str">
        <x:v>High</x:v>
      </x:c>
      <x:c r="H70" s="50" t="str">
        <x:v>P1</x:v>
      </x:c>
      <x:c r="I70" s="50" t="str">
        <x:v>Navigation</x:v>
      </x:c>
      <x:c r="J70" s="50" t="str">
        <x:v>Automate</x:v>
      </x:c>
      <x:c r="K70" s="50" t="str"/>
      <x:c r="L70" s="50" t="str">
        <x:v>Not Run</x:v>
      </x:c>
      <x:c r="M70" s="50" t="str"/>
      <x:c r="N70" s="50" t="str">
        <x:v>DOM href=/vuatho/insurance</x:v>
      </x:c>
    </x:row>
    <x:row r="71" ht="72" customHeight="1">
      <x:c r="A71" s="50" t="str">
        <x:v>SBM-037</x:v>
      </x:c>
      <x:c r="B71" s="50" t="str">
        <x:v>Sidebar &amp; Menu</x:v>
      </x:c>
      <x:c r="C71" s="50" t="str">
        <x:v>Điều hướng menu Yêu Cầu Hỗ Trợ (SOS)</x:v>
      </x:c>
      <x:c r="D71" s="50" t="str">
        <x:v>Có tài khoản hợp lệ; đã đăng nhập CMS; nhóm Vua Thợ được phép truy cập. Đang ở trang Dashboard.</x:v>
      </x:c>
      <x:c r="E71" s="50" t="str">
        <x:v>1. Mở parent menu nếu cần.
2. Click link “{name}”.
3. Chờ URL/main content thay đổi.
4. Kiểm tra lỗi trang và session.</x:v>
      </x:c>
      <x:c r="F71" s="50" t="str">
        <x:v>URL chứa '/vuatho/sos-request'; trang đích tải thành công; không 404/500/trắng trang; không logout.</x:v>
      </x:c>
      <x:c r="G71" s="50" t="str">
        <x:v>High</x:v>
      </x:c>
      <x:c r="H71" s="50" t="str">
        <x:v>P1</x:v>
      </x:c>
      <x:c r="I71" s="50" t="str">
        <x:v>Navigation</x:v>
      </x:c>
      <x:c r="J71" s="50" t="str">
        <x:v>Automate</x:v>
      </x:c>
      <x:c r="K71" s="50" t="str"/>
      <x:c r="L71" s="50" t="str">
        <x:v>Not Run</x:v>
      </x:c>
      <x:c r="M71" s="50" t="str"/>
      <x:c r="N71" s="50" t="str">
        <x:v>DOM href=/vuatho/sos-request</x:v>
      </x:c>
    </x:row>
    <x:row r="72" ht="72" customHeight="1">
      <x:c r="A72" s="50" t="str">
        <x:v>SBM-038</x:v>
      </x:c>
      <x:c r="B72" s="50" t="str">
        <x:v>Sidebar &amp; Menu</x:v>
      </x:c>
      <x:c r="C72" s="50" t="str">
        <x:v>Điều hướng menu bằng bàn phím</x:v>
      </x:c>
      <x:c r="D72" s="50" t="str">
        <x:v>Có tài khoản hợp lệ; đã đăng nhập CMS; nhóm Vua Thợ được phép truy cập. Đang ở trang Dashboard.</x:v>
      </x:c>
      <x:c r="E72" s="50" t="str">
        <x:v>1. Dùng Tab đến nhóm/menu.
2. Dùng Enter/Space để mở accordion và link.
3. Kiểm tra focus.</x:v>
      </x:c>
      <x:c r="F72" s="50" t="str">
        <x:v>Có thể điều hướng bằng bàn phím; focus hiển thị rõ; không bị kẹt.</x:v>
      </x:c>
      <x:c r="G72" s="50" t="str">
        <x:v>Medium</x:v>
      </x:c>
      <x:c r="H72" s="50" t="str">
        <x:v>P2</x:v>
      </x:c>
      <x:c r="I72" s="50" t="str">
        <x:v>Accessibility</x:v>
      </x:c>
      <x:c r="J72" s="50" t="str">
        <x:v>Automate</x:v>
      </x:c>
      <x:c r="K72" s="50" t="str"/>
      <x:c r="L72" s="50" t="str">
        <x:v>Not Run</x:v>
      </x:c>
      <x:c r="M72" s="50" t="str"/>
      <x:c r="N72" s="50" t="str"/>
    </x:row>
    <x:row r="73" ht="72" customHeight="1">
      <x:c r="A73" s="50" t="str">
        <x:v>SBM-039</x:v>
      </x:c>
      <x:c r="B73" s="50" t="str">
        <x:v>Sidebar &amp; Menu</x:v>
      </x:c>
      <x:c r="C73" s="50" t="str">
        <x:v>Menu text dài không làm vỡ sidebar</x:v>
      </x:c>
      <x:c r="D73" s="50" t="str">
        <x:v>Thực hiện trên môi trường test/staging với dữ liệu an toàn.</x:v>
      </x:c>
      <x:c r="E73" s="50" t="str">
        <x:v>1. Mock/chuẩn bị menu có text dài.
2. Mở sidebar ở các kích thước.
3. Quan sát wrap/truncate và tooltip nếu có.</x:v>
      </x:c>
      <x:c r="F73" s="50" t="str">
        <x:v>Menu không chồng lấn; vẫn nhận diện và click được.</x:v>
      </x:c>
      <x:c r="G73" s="50" t="str">
        <x:v>Low</x:v>
      </x:c>
      <x:c r="H73" s="50" t="str">
        <x:v>P3</x:v>
      </x:c>
      <x:c r="I73" s="50" t="str">
        <x:v>Boundary</x:v>
      </x:c>
      <x:c r="J73" s="50" t="str">
        <x:v>Need API/Database</x:v>
      </x:c>
      <x:c r="K73" s="50" t="str"/>
      <x:c r="L73" s="50" t="str">
        <x:v>Not Run</x:v>
      </x:c>
      <x:c r="M73" s="50" t="str"/>
      <x:c r="N73" s="50" t="str"/>
    </x:row>
    <x:row r="74" ht="72" customHeight="1">
      <x:c r="A74" s="50" t="str">
        <x:v>SBM-040</x:v>
      </x:c>
      <x:c r="B74" s="50" t="str">
        <x:v>Sidebar &amp; Menu</x:v>
      </x:c>
      <x:c r="C74" s="50" t="str">
        <x:v>Link menu không đủ quyền</x:v>
      </x:c>
      <x:c r="D74" s="50" t="str">
        <x:v>Có tài khoản giới hạn quyền.</x:v>
      </x:c>
      <x:c r="E74" s="50" t="str">
        <x:v>1. Đăng nhập tài khoản giới hạn.
2. Quan sát menu và truy cập trực tiếp URL bị cấm.</x:v>
      </x:c>
      <x:c r="F74" s="50" t="str">
        <x:v>Menu bị ẩn/disable hoặc trang chặn truy cập đúng quyền.</x:v>
      </x:c>
      <x:c r="G74" s="50" t="str">
        <x:v>Critical</x:v>
      </x:c>
      <x:c r="H74" s="50" t="str">
        <x:v>P0</x:v>
      </x:c>
      <x:c r="I74" s="50" t="str">
        <x:v>Permission</x:v>
      </x:c>
      <x:c r="J74" s="50" t="str">
        <x:v>Need business requirement</x:v>
      </x:c>
      <x:c r="K74" s="50" t="str"/>
      <x:c r="L74" s="50" t="str">
        <x:v>Not Run</x:v>
      </x:c>
      <x:c r="M74" s="50" t="str"/>
      <x:c r="N74" s="50" t="str"/>
    </x:row>
    <x:row r="75" ht="72" customHeight="1">
      <x:c r="A75" s="50" t="str">
        <x:v>OVD-001</x:v>
      </x:c>
      <x:c r="B75" s="50" t="str">
        <x:v>Overview Cards &amp; Drawer</x:v>
      </x:c>
      <x:c r="C75" s="50" t="str">
        <x:v>Hiển thị và đọc số liệu card Đơn dịch vụ</x:v>
      </x:c>
      <x:c r="D75" s="50" t="str">
        <x:v>Có tài khoản hợp lệ; đã đăng nhập CMS; nhóm Vua Thợ được phép truy cập. Đang ở trang Dashboard.</x:v>
      </x:c>
      <x:c r="E75" s="50" t="str">
        <x:v>1. Tìm card theo heading “Đơn dịch vụ”.
2. Đọc giá trị chính.
3. Loại dấu phân cách hàng nghìn và parse số.</x:v>
      </x:c>
      <x:c r="F75" s="50" t="str">
        <x:v>Card hiển thị; giá trị parse được và không âm; không hiển thị NaN/Infinity.</x:v>
      </x:c>
      <x:c r="G75" s="50" t="str">
        <x:v>High</x:v>
      </x:c>
      <x:c r="H75" s="50" t="str">
        <x:v>P1</x:v>
      </x:c>
      <x:c r="I75" s="50" t="str">
        <x:v>Data Integrity</x:v>
      </x:c>
      <x:c r="J75" s="50" t="str">
        <x:v>Automate</x:v>
      </x:c>
      <x:c r="K75" s="50" t="str"/>
      <x:c r="L75" s="50" t="str">
        <x:v>Not Run</x:v>
      </x:c>
      <x:c r="M75" s="50" t="str"/>
      <x:c r="N75" s="50" t="str"/>
    </x:row>
    <x:row r="76" ht="72" customHeight="1">
      <x:c r="A76" s="50" t="str">
        <x:v>OVD-002</x:v>
      </x:c>
      <x:c r="B76" s="50" t="str">
        <x:v>Overview Cards &amp; Drawer</x:v>
      </x:c>
      <x:c r="C76" s="50" t="str">
        <x:v>Hiển thị và đọc số liệu card Số lượng người dùng</x:v>
      </x:c>
      <x:c r="D76" s="50" t="str">
        <x:v>Có tài khoản hợp lệ; đã đăng nhập CMS; nhóm Vua Thợ được phép truy cập. Đang ở trang Dashboard.</x:v>
      </x:c>
      <x:c r="E76" s="50" t="str">
        <x:v>1. Tìm card theo heading “Số lượng người dùng”.
2. Đọc giá trị chính.
3. Loại dấu phân cách hàng nghìn và parse số.</x:v>
      </x:c>
      <x:c r="F76" s="50" t="str">
        <x:v>Card hiển thị; giá trị parse được và không âm; không hiển thị NaN/Infinity.</x:v>
      </x:c>
      <x:c r="G76" s="50" t="str">
        <x:v>High</x:v>
      </x:c>
      <x:c r="H76" s="50" t="str">
        <x:v>P1</x:v>
      </x:c>
      <x:c r="I76" s="50" t="str">
        <x:v>Data Integrity</x:v>
      </x:c>
      <x:c r="J76" s="50" t="str">
        <x:v>Automate</x:v>
      </x:c>
      <x:c r="K76" s="50" t="str"/>
      <x:c r="L76" s="50" t="str">
        <x:v>Not Run</x:v>
      </x:c>
      <x:c r="M76" s="50" t="str"/>
      <x:c r="N76" s="50" t="str"/>
    </x:row>
    <x:row r="77" ht="72" customHeight="1">
      <x:c r="A77" s="50" t="str">
        <x:v>OVD-003</x:v>
      </x:c>
      <x:c r="B77" s="50" t="str">
        <x:v>Overview Cards &amp; Drawer</x:v>
      </x:c>
      <x:c r="C77" s="50" t="str">
        <x:v>Hiển thị và đọc số liệu card Số lượng thợ</x:v>
      </x:c>
      <x:c r="D77" s="50" t="str">
        <x:v>Có tài khoản hợp lệ; đã đăng nhập CMS; nhóm Vua Thợ được phép truy cập. Đang ở trang Dashboard.</x:v>
      </x:c>
      <x:c r="E77" s="50" t="str">
        <x:v>1. Tìm card theo heading “Số lượng thợ”.
2. Đọc giá trị chính.
3. Loại dấu phân cách hàng nghìn và parse số.</x:v>
      </x:c>
      <x:c r="F77" s="50" t="str">
        <x:v>Card hiển thị; giá trị parse được và không âm; không hiển thị NaN/Infinity.</x:v>
      </x:c>
      <x:c r="G77" s="50" t="str">
        <x:v>High</x:v>
      </x:c>
      <x:c r="H77" s="50" t="str">
        <x:v>P1</x:v>
      </x:c>
      <x:c r="I77" s="50" t="str">
        <x:v>Data Integrity</x:v>
      </x:c>
      <x:c r="J77" s="50" t="str">
        <x:v>Automate</x:v>
      </x:c>
      <x:c r="K77" s="50" t="str"/>
      <x:c r="L77" s="50" t="str">
        <x:v>Not Run</x:v>
      </x:c>
      <x:c r="M77" s="50" t="str"/>
      <x:c r="N77" s="50" t="str"/>
    </x:row>
    <x:row r="78" ht="72" customHeight="1">
      <x:c r="A78" s="50" t="str">
        <x:v>OVD-004</x:v>
      </x:c>
      <x:c r="B78" s="50" t="str">
        <x:v>Overview Cards &amp; Drawer</x:v>
      </x:c>
      <x:c r="C78" s="50" t="str">
        <x:v>Hiển thị và đọc số liệu card Nghiệp vụ</x:v>
      </x:c>
      <x:c r="D78" s="50" t="str">
        <x:v>Có tài khoản hợp lệ; đã đăng nhập CMS; nhóm Vua Thợ được phép truy cập. Đang ở trang Dashboard.</x:v>
      </x:c>
      <x:c r="E78" s="50" t="str">
        <x:v>1. Tìm card theo heading “Nghiệp vụ”.
2. Đọc giá trị chính.
3. Loại dấu phân cách hàng nghìn và parse số.</x:v>
      </x:c>
      <x:c r="F78" s="50" t="str">
        <x:v>Card hiển thị; giá trị parse được và không âm; không hiển thị NaN/Infinity.</x:v>
      </x:c>
      <x:c r="G78" s="50" t="str">
        <x:v>High</x:v>
      </x:c>
      <x:c r="H78" s="50" t="str">
        <x:v>P1</x:v>
      </x:c>
      <x:c r="I78" s="50" t="str">
        <x:v>Data Integrity</x:v>
      </x:c>
      <x:c r="J78" s="50" t="str">
        <x:v>Automate</x:v>
      </x:c>
      <x:c r="K78" s="50" t="str"/>
      <x:c r="L78" s="50" t="str">
        <x:v>Not Run</x:v>
      </x:c>
      <x:c r="M78" s="50" t="str"/>
      <x:c r="N78" s="50" t="str"/>
    </x:row>
    <x:row r="79" ht="72" customHeight="1">
      <x:c r="A79" s="50" t="str">
        <x:v>OVD-005</x:v>
      </x:c>
      <x:c r="B79" s="50" t="str">
        <x:v>Overview Cards &amp; Drawer</x:v>
      </x:c>
      <x:c r="C79" s="50" t="str">
        <x:v>Hiển thị và đọc số liệu card Ngành nghề</x:v>
      </x:c>
      <x:c r="D79" s="50" t="str">
        <x:v>Có tài khoản hợp lệ; đã đăng nhập CMS; nhóm Vua Thợ được phép truy cập. Đang ở trang Dashboard.</x:v>
      </x:c>
      <x:c r="E79" s="50" t="str">
        <x:v>1. Tìm card theo heading “Ngành nghề”.
2. Đọc giá trị chính.
3. Loại dấu phân cách hàng nghìn và parse số.</x:v>
      </x:c>
      <x:c r="F79" s="50" t="str">
        <x:v>Card hiển thị; giá trị parse được và không âm; không hiển thị NaN/Infinity.</x:v>
      </x:c>
      <x:c r="G79" s="50" t="str">
        <x:v>High</x:v>
      </x:c>
      <x:c r="H79" s="50" t="str">
        <x:v>P1</x:v>
      </x:c>
      <x:c r="I79" s="50" t="str">
        <x:v>Data Integrity</x:v>
      </x:c>
      <x:c r="J79" s="50" t="str">
        <x:v>Automate</x:v>
      </x:c>
      <x:c r="K79" s="50" t="str"/>
      <x:c r="L79" s="50" t="str">
        <x:v>Not Run</x:v>
      </x:c>
      <x:c r="M79" s="50" t="str"/>
      <x:c r="N79" s="50" t="str"/>
    </x:row>
    <x:row r="80" ht="72" customHeight="1">
      <x:c r="A80" s="50" t="str">
        <x:v>OVD-006</x:v>
      </x:c>
      <x:c r="B80" s="50" t="str">
        <x:v>Overview Cards &amp; Drawer</x:v>
      </x:c>
      <x:c r="C80" s="50" t="str">
        <x:v>Hiển thị và đọc số liệu card Nền tảng Vua Thợ</x:v>
      </x:c>
      <x:c r="D80" s="50" t="str">
        <x:v>Có tài khoản hợp lệ; đã đăng nhập CMS; nhóm Vua Thợ được phép truy cập. Đang ở trang Dashboard.</x:v>
      </x:c>
      <x:c r="E80" s="50" t="str">
        <x:v>1. Tìm card theo heading “Nền tảng Vua Thợ”.
2. Đọc giá trị chính.
3. Loại dấu phân cách hàng nghìn và parse số.</x:v>
      </x:c>
      <x:c r="F80" s="50" t="str">
        <x:v>Card hiển thị; giá trị parse được và không âm; không hiển thị NaN/Infinity.</x:v>
      </x:c>
      <x:c r="G80" s="50" t="str">
        <x:v>High</x:v>
      </x:c>
      <x:c r="H80" s="50" t="str">
        <x:v>P1</x:v>
      </x:c>
      <x:c r="I80" s="50" t="str">
        <x:v>Data Integrity</x:v>
      </x:c>
      <x:c r="J80" s="50" t="str">
        <x:v>Automate</x:v>
      </x:c>
      <x:c r="K80" s="50" t="str"/>
      <x:c r="L80" s="50" t="str">
        <x:v>Not Run</x:v>
      </x:c>
      <x:c r="M80" s="50" t="str"/>
      <x:c r="N80" s="50" t="str"/>
    </x:row>
    <x:row r="81" ht="72" customHeight="1">
      <x:c r="A81" s="50" t="str">
        <x:v>OVD-007</x:v>
      </x:c>
      <x:c r="B81" s="50" t="str">
        <x:v>Overview Cards &amp; Drawer</x:v>
      </x:c>
      <x:c r="C81" s="50" t="str">
        <x:v>Click card Đơn dịch vụ mở chi tiết</x:v>
      </x:c>
      <x:c r="D81" s="50" t="str">
        <x:v>Có tài khoản hợp lệ; đã đăng nhập CMS; nhóm Vua Thợ được phép truy cập. Đang ở trang Dashboard.</x:v>
      </x:c>
      <x:c r="E81" s="50" t="str">
        <x:v>1. Click card “Đơn dịch vụ”.
2. Chờ overlay/drawer đổi sang trạng thái mở.
3. Kiểm tra tiêu đề và nội dung.</x:v>
      </x:c>
      <x:c r="F81" s="50" t="str">
        <x:v>Drawer/chi tiết mở đúng một lần và gắn với card vừa chọn; nội dung không dùng dữ liệu stale.</x:v>
      </x:c>
      <x:c r="G81" s="50" t="str">
        <x:v>High</x:v>
      </x:c>
      <x:c r="H81" s="50" t="str">
        <x:v>P1</x:v>
      </x:c>
      <x:c r="I81" s="50" t="str">
        <x:v>Functional</x:v>
      </x:c>
      <x:c r="J81" s="50" t="str">
        <x:v>Need more DOM</x:v>
      </x:c>
      <x:c r="K81" s="50" t="str"/>
      <x:c r="L81" s="50" t="str">
        <x:v>Not Run</x:v>
      </x:c>
      <x:c r="M81" s="50" t="str"/>
      <x:c r="N81" s="50" t="str"/>
    </x:row>
    <x:row r="82" ht="72" customHeight="1">
      <x:c r="A82" s="50" t="str">
        <x:v>OVD-008</x:v>
      </x:c>
      <x:c r="B82" s="50" t="str">
        <x:v>Overview Cards &amp; Drawer</x:v>
      </x:c>
      <x:c r="C82" s="50" t="str">
        <x:v>Click card Số lượng người dùng mở chi tiết</x:v>
      </x:c>
      <x:c r="D82" s="50" t="str">
        <x:v>Có tài khoản hợp lệ; đã đăng nhập CMS; nhóm Vua Thợ được phép truy cập. Đang ở trang Dashboard.</x:v>
      </x:c>
      <x:c r="E82" s="50" t="str">
        <x:v>1. Click card “Số lượng người dùng”.
2. Chờ overlay/drawer đổi sang trạng thái mở.
3. Kiểm tra tiêu đề và nội dung.</x:v>
      </x:c>
      <x:c r="F82" s="50" t="str">
        <x:v>Drawer/chi tiết mở đúng một lần và gắn với card vừa chọn; nội dung không dùng dữ liệu stale.</x:v>
      </x:c>
      <x:c r="G82" s="50" t="str">
        <x:v>High</x:v>
      </x:c>
      <x:c r="H82" s="50" t="str">
        <x:v>P1</x:v>
      </x:c>
      <x:c r="I82" s="50" t="str">
        <x:v>Functional</x:v>
      </x:c>
      <x:c r="J82" s="50" t="str">
        <x:v>Need more DOM</x:v>
      </x:c>
      <x:c r="K82" s="50" t="str"/>
      <x:c r="L82" s="50" t="str">
        <x:v>Not Run</x:v>
      </x:c>
      <x:c r="M82" s="50" t="str"/>
      <x:c r="N82" s="50" t="str"/>
    </x:row>
    <x:row r="83" ht="72" customHeight="1">
      <x:c r="A83" s="50" t="str">
        <x:v>OVD-009</x:v>
      </x:c>
      <x:c r="B83" s="50" t="str">
        <x:v>Overview Cards &amp; Drawer</x:v>
      </x:c>
      <x:c r="C83" s="50" t="str">
        <x:v>Click card Số lượng thợ mở chi tiết</x:v>
      </x:c>
      <x:c r="D83" s="50" t="str">
        <x:v>Có tài khoản hợp lệ; đã đăng nhập CMS; nhóm Vua Thợ được phép truy cập. Đang ở trang Dashboard.</x:v>
      </x:c>
      <x:c r="E83" s="50" t="str">
        <x:v>1. Click card “Số lượng thợ”.
2. Chờ overlay/drawer đổi sang trạng thái mở.
3. Kiểm tra tiêu đề và nội dung.</x:v>
      </x:c>
      <x:c r="F83" s="50" t="str">
        <x:v>Drawer/chi tiết mở đúng một lần và gắn với card vừa chọn; nội dung không dùng dữ liệu stale.</x:v>
      </x:c>
      <x:c r="G83" s="50" t="str">
        <x:v>High</x:v>
      </x:c>
      <x:c r="H83" s="50" t="str">
        <x:v>P1</x:v>
      </x:c>
      <x:c r="I83" s="50" t="str">
        <x:v>Functional</x:v>
      </x:c>
      <x:c r="J83" s="50" t="str">
        <x:v>Need more DOM</x:v>
      </x:c>
      <x:c r="K83" s="50" t="str"/>
      <x:c r="L83" s="50" t="str">
        <x:v>Not Run</x:v>
      </x:c>
      <x:c r="M83" s="50" t="str"/>
      <x:c r="N83" s="50" t="str"/>
    </x:row>
    <x:row r="84" ht="72" customHeight="1">
      <x:c r="A84" s="50" t="str">
        <x:v>OVD-010</x:v>
      </x:c>
      <x:c r="B84" s="50" t="str">
        <x:v>Overview Cards &amp; Drawer</x:v>
      </x:c>
      <x:c r="C84" s="50" t="str">
        <x:v>Click card Nghiệp vụ mở chi tiết</x:v>
      </x:c>
      <x:c r="D84" s="50" t="str">
        <x:v>Có tài khoản hợp lệ; đã đăng nhập CMS; nhóm Vua Thợ được phép truy cập. Đang ở trang Dashboard.</x:v>
      </x:c>
      <x:c r="E84" s="50" t="str">
        <x:v>1. Click card “Nghiệp vụ”.
2. Chờ overlay/drawer đổi sang trạng thái mở.
3. Kiểm tra tiêu đề và nội dung.</x:v>
      </x:c>
      <x:c r="F84" s="50" t="str">
        <x:v>Drawer/chi tiết mở đúng một lần và gắn với card vừa chọn; nội dung không dùng dữ liệu stale.</x:v>
      </x:c>
      <x:c r="G84" s="50" t="str">
        <x:v>High</x:v>
      </x:c>
      <x:c r="H84" s="50" t="str">
        <x:v>P1</x:v>
      </x:c>
      <x:c r="I84" s="50" t="str">
        <x:v>Functional</x:v>
      </x:c>
      <x:c r="J84" s="50" t="str">
        <x:v>Need more DOM</x:v>
      </x:c>
      <x:c r="K84" s="50" t="str"/>
      <x:c r="L84" s="50" t="str">
        <x:v>Not Run</x:v>
      </x:c>
      <x:c r="M84" s="50" t="str"/>
      <x:c r="N84" s="50" t="str"/>
    </x:row>
    <x:row r="85" ht="72" customHeight="1">
      <x:c r="A85" s="50" t="str">
        <x:v>OVD-011</x:v>
      </x:c>
      <x:c r="B85" s="50" t="str">
        <x:v>Overview Cards &amp; Drawer</x:v>
      </x:c>
      <x:c r="C85" s="50" t="str">
        <x:v>Click card Ngành nghề mở chi tiết</x:v>
      </x:c>
      <x:c r="D85" s="50" t="str">
        <x:v>Có tài khoản hợp lệ; đã đăng nhập CMS; nhóm Vua Thợ được phép truy cập. Đang ở trang Dashboard.</x:v>
      </x:c>
      <x:c r="E85" s="50" t="str">
        <x:v>1. Click card “Ngành nghề”.
2. Chờ overlay/drawer đổi sang trạng thái mở.
3. Kiểm tra tiêu đề và nội dung.</x:v>
      </x:c>
      <x:c r="F85" s="50" t="str">
        <x:v>Drawer/chi tiết mở đúng một lần và gắn với card vừa chọn; nội dung không dùng dữ liệu stale.</x:v>
      </x:c>
      <x:c r="G85" s="50" t="str">
        <x:v>High</x:v>
      </x:c>
      <x:c r="H85" s="50" t="str">
        <x:v>P1</x:v>
      </x:c>
      <x:c r="I85" s="50" t="str">
        <x:v>Functional</x:v>
      </x:c>
      <x:c r="J85" s="50" t="str">
        <x:v>Need more DOM</x:v>
      </x:c>
      <x:c r="K85" s="50" t="str"/>
      <x:c r="L85" s="50" t="str">
        <x:v>Not Run</x:v>
      </x:c>
      <x:c r="M85" s="50" t="str"/>
      <x:c r="N85" s="50" t="str"/>
    </x:row>
    <x:row r="86" ht="72" customHeight="1">
      <x:c r="A86" s="50" t="str">
        <x:v>OVD-012</x:v>
      </x:c>
      <x:c r="B86" s="50" t="str">
        <x:v>Overview Cards &amp; Drawer</x:v>
      </x:c>
      <x:c r="C86" s="50" t="str">
        <x:v>Click card Nền tảng Vua Thợ mở chi tiết</x:v>
      </x:c>
      <x:c r="D86" s="50" t="str">
        <x:v>Có tài khoản hợp lệ; đã đăng nhập CMS; nhóm Vua Thợ được phép truy cập. Đang ở trang Dashboard.</x:v>
      </x:c>
      <x:c r="E86" s="50" t="str">
        <x:v>1. Click card “Nền tảng Vua Thợ”.
2. Chờ overlay/drawer đổi sang trạng thái mở.
3. Kiểm tra tiêu đề và nội dung.</x:v>
      </x:c>
      <x:c r="F86" s="50" t="str">
        <x:v>Drawer/chi tiết mở đúng một lần và gắn với card vừa chọn; nội dung không dùng dữ liệu stale.</x:v>
      </x:c>
      <x:c r="G86" s="50" t="str">
        <x:v>High</x:v>
      </x:c>
      <x:c r="H86" s="50" t="str">
        <x:v>P1</x:v>
      </x:c>
      <x:c r="I86" s="50" t="str">
        <x:v>Functional</x:v>
      </x:c>
      <x:c r="J86" s="50" t="str">
        <x:v>Need more DOM</x:v>
      </x:c>
      <x:c r="K86" s="50" t="str"/>
      <x:c r="L86" s="50" t="str">
        <x:v>Not Run</x:v>
      </x:c>
      <x:c r="M86" s="50" t="str"/>
      <x:c r="N86" s="50" t="str"/>
    </x:row>
    <x:row r="87" ht="72" customHeight="1">
      <x:c r="A87" s="50" t="str">
        <x:v>OVD-013</x:v>
      </x:c>
      <x:c r="B87" s="50" t="str">
        <x:v>Overview Cards &amp; Drawer</x:v>
      </x:c>
      <x:c r="C87" s="50" t="str">
        <x:v>Kiểm tra số người dùng đã KYC không vượt tổng</x:v>
      </x:c>
      <x:c r="D87" s="50" t="str">
        <x:v>Có tài khoản hợp lệ; đã đăng nhập CMS; nhóm Vua Thợ được phép truy cập. Đang ở trang Dashboard.</x:v>
      </x:c>
      <x:c r="E87" s="50" t="str">
        <x:v>1. Đọc tổng người dùng và số đã KYC.
2. Parse số.
3. So sánh.</x:v>
      </x:c>
      <x:c r="F87" s="50" t="str">
        <x:v>0 ≤ số đã KYC ≤ tổng người dùng.</x:v>
      </x:c>
      <x:c r="G87" s="50" t="str">
        <x:v>High</x:v>
      </x:c>
      <x:c r="H87" s="50" t="str">
        <x:v>P1</x:v>
      </x:c>
      <x:c r="I87" s="50" t="str">
        <x:v>Data Integrity</x:v>
      </x:c>
      <x:c r="J87" s="50" t="str">
        <x:v>Automate</x:v>
      </x:c>
      <x:c r="K87" s="50" t="str"/>
      <x:c r="L87" s="50" t="str">
        <x:v>Not Run</x:v>
      </x:c>
      <x:c r="M87" s="50" t="str"/>
      <x:c r="N87" s="50" t="str"/>
    </x:row>
    <x:row r="88" ht="72" customHeight="1">
      <x:c r="A88" s="50" t="str">
        <x:v>OVD-014</x:v>
      </x:c>
      <x:c r="B88" s="50" t="str">
        <x:v>Overview Cards &amp; Drawer</x:v>
      </x:c>
      <x:c r="C88" s="50" t="str">
        <x:v>Tính đúng tỷ lệ người dùng đã KYC</x:v>
      </x:c>
      <x:c r="D88" s="50" t="str">
        <x:v>Có tài khoản hợp lệ; đã đăng nhập CMS; nhóm Vua Thợ được phép truy cập. Đang ở trang Dashboard.</x:v>
      </x:c>
      <x:c r="E88" s="50" t="str">
        <x:v>1. Đọc tổng người dùng, số đã KYC và phần trăm UI.
2. Tính KYC/Total*100.
3. So sánh theo quy tắc làm tròn 1 chữ số.</x:v>
      </x:c>
      <x:c r="F88" s="50" t="str">
        <x:v>Phần trăm UI khớp phép tính trong sai số làm tròn; không NaN/Infinity.</x:v>
      </x:c>
      <x:c r="G88" s="50" t="str">
        <x:v>High</x:v>
      </x:c>
      <x:c r="H88" s="50" t="str">
        <x:v>P1</x:v>
      </x:c>
      <x:c r="I88" s="50" t="str">
        <x:v>Data Integrity</x:v>
      </x:c>
      <x:c r="J88" s="50" t="str">
        <x:v>Automate</x:v>
      </x:c>
      <x:c r="K88" s="50" t="str"/>
      <x:c r="L88" s="50" t="str">
        <x:v>Not Run</x:v>
      </x:c>
      <x:c r="M88" s="50" t="str"/>
      <x:c r="N88" s="50" t="str"/>
    </x:row>
    <x:row r="89" ht="72" customHeight="1">
      <x:c r="A89" s="50" t="str">
        <x:v>OVD-015</x:v>
      </x:c>
      <x:c r="B89" s="50" t="str">
        <x:v>Overview Cards &amp; Drawer</x:v>
      </x:c>
      <x:c r="C89" s="50" t="str">
        <x:v>Kiểm tra số thợ đã KYC không vượt tổng</x:v>
      </x:c>
      <x:c r="D89" s="50" t="str">
        <x:v>Có tài khoản hợp lệ; đã đăng nhập CMS; nhóm Vua Thợ được phép truy cập. Đang ở trang Dashboard.</x:v>
      </x:c>
      <x:c r="E89" s="50" t="str">
        <x:v>1. Đọc tổng thợ và số thợ đã KYC.
2. Parse số.
3. So sánh.</x:v>
      </x:c>
      <x:c r="F89" s="50" t="str">
        <x:v>0 ≤ thợ đã KYC ≤ tổng thợ.</x:v>
      </x:c>
      <x:c r="G89" s="50" t="str">
        <x:v>High</x:v>
      </x:c>
      <x:c r="H89" s="50" t="str">
        <x:v>P1</x:v>
      </x:c>
      <x:c r="I89" s="50" t="str">
        <x:v>Data Integrity</x:v>
      </x:c>
      <x:c r="J89" s="50" t="str">
        <x:v>Automate</x:v>
      </x:c>
      <x:c r="K89" s="50" t="str"/>
      <x:c r="L89" s="50" t="str">
        <x:v>Not Run</x:v>
      </x:c>
      <x:c r="M89" s="50" t="str"/>
      <x:c r="N89" s="50" t="str"/>
    </x:row>
    <x:row r="90" ht="72" customHeight="1">
      <x:c r="A90" s="50" t="str">
        <x:v>OVD-016</x:v>
      </x:c>
      <x:c r="B90" s="50" t="str">
        <x:v>Overview Cards &amp; Drawer</x:v>
      </x:c>
      <x:c r="C90" s="50" t="str">
        <x:v>Tính đúng tỷ lệ thợ đã KYC</x:v>
      </x:c>
      <x:c r="D90" s="50" t="str">
        <x:v>Có tài khoản hợp lệ; đã đăng nhập CMS; nhóm Vua Thợ được phép truy cập. Đang ở trang Dashboard.</x:v>
      </x:c>
      <x:c r="E90" s="50" t="str">
        <x:v>1. Đọc tổng thợ, số đã KYC và phần trăm UI.
2. Tính KYC/Total*100.
3. So sánh theo quy tắc làm tròn.</x:v>
      </x:c>
      <x:c r="F90" s="50" t="str">
        <x:v>Phần trăm UI chính xác trong sai số làm tròn.</x:v>
      </x:c>
      <x:c r="G90" s="50" t="str">
        <x:v>High</x:v>
      </x:c>
      <x:c r="H90" s="50" t="str">
        <x:v>P1</x:v>
      </x:c>
      <x:c r="I90" s="50" t="str">
        <x:v>Data Integrity</x:v>
      </x:c>
      <x:c r="J90" s="50" t="str">
        <x:v>Automate</x:v>
      </x:c>
      <x:c r="K90" s="50" t="str"/>
      <x:c r="L90" s="50" t="str">
        <x:v>Not Run</x:v>
      </x:c>
      <x:c r="M90" s="50" t="str"/>
      <x:c r="N90" s="50" t="str"/>
    </x:row>
    <x:row r="91" ht="72" customHeight="1">
      <x:c r="A91" s="50" t="str">
        <x:v>OVD-017</x:v>
      </x:c>
      <x:c r="B91" s="50" t="str">
        <x:v>Overview Cards &amp; Drawer</x:v>
      </x:c>
      <x:c r="C91" s="50" t="str">
        <x:v>Định dạng dấu phân cách hàng nghìn của card</x:v>
      </x:c>
      <x:c r="D91" s="50" t="str">
        <x:v>Có tài khoản hợp lệ; đã đăng nhập CMS; nhóm Vua Thợ được phép truy cập. Đang ở trang Dashboard.</x:v>
      </x:c>
      <x:c r="E91" s="50" t="str">
        <x:v>1. Đọc tất cả giá trị card.
2. Kiểm tra format hiển thị theo locale.
3. Parse về số.</x:v>
      </x:c>
      <x:c r="F91" s="50" t="str">
        <x:v>Các giá trị lớn hiển thị nhất quán và vẫn parse được.</x:v>
      </x:c>
      <x:c r="G91" s="50" t="str">
        <x:v>Medium</x:v>
      </x:c>
      <x:c r="H91" s="50" t="str">
        <x:v>P2</x:v>
      </x:c>
      <x:c r="I91" s="50" t="str">
        <x:v>UI</x:v>
      </x:c>
      <x:c r="J91" s="50" t="str">
        <x:v>Automate</x:v>
      </x:c>
      <x:c r="K91" s="50" t="str"/>
      <x:c r="L91" s="50" t="str">
        <x:v>Not Run</x:v>
      </x:c>
      <x:c r="M91" s="50" t="str"/>
      <x:c r="N91" s="50" t="str"/>
    </x:row>
    <x:row r="92" ht="72" customHeight="1">
      <x:c r="A92" s="50" t="str">
        <x:v>OVD-018</x:v>
      </x:c>
      <x:c r="B92" s="50" t="str">
        <x:v>Overview Cards &amp; Drawer</x:v>
      </x:c>
      <x:c r="C92" s="50" t="str">
        <x:v>Trạng thái drawer đóng mặc định</x:v>
      </x:c>
      <x:c r="D92" s="50" t="str">
        <x:v>Có tài khoản hợp lệ; đã đăng nhập CMS; nhóm Vua Thợ được phép truy cập. Đang ở trang Dashboard.</x:v>
      </x:c>
      <x:c r="E92" s="50" t="str">
        <x:v>1. Mở Dashboard mới.
2. Tìm drawer và overlay.
3. Đọc transform/class/aria.</x:v>
      </x:c>
      <x:c r="F92" s="50" t="str">
        <x:v>Drawer ở ngoài viewport hoặc trạng thái closed; overlay không chặn thao tác.</x:v>
      </x:c>
      <x:c r="G92" s="50" t="str">
        <x:v>Medium</x:v>
      </x:c>
      <x:c r="H92" s="50" t="str">
        <x:v>P2</x:v>
      </x:c>
      <x:c r="I92" s="50" t="str">
        <x:v>UI</x:v>
      </x:c>
      <x:c r="J92" s="50" t="str">
        <x:v>Automate</x:v>
      </x:c>
      <x:c r="K92" s="50" t="str"/>
      <x:c r="L92" s="50" t="str">
        <x:v>Not Run</x:v>
      </x:c>
      <x:c r="M92" s="50" t="str"/>
      <x:c r="N92" s="50" t="str">
        <x:v>Drawer tồn tại trong DOM với translate-x-[100%].</x:v>
      </x:c>
    </x:row>
    <x:row r="93" ht="72" customHeight="1">
      <x:c r="A93" s="50" t="str">
        <x:v>OVD-019</x:v>
      </x:c>
      <x:c r="B93" s="50" t="str">
        <x:v>Overview Cards &amp; Drawer</x:v>
      </x:c>
      <x:c r="C93" s="50" t="str">
        <x:v>Đóng drawer bằng nút X</x:v>
      </x:c>
      <x:c r="D93" s="50" t="str">
        <x:v>Có tài khoản hợp lệ; đã đăng nhập CMS; nhóm Vua Thợ được phép truy cập. Đang ở trang Dashboard.</x:v>
      </x:c>
      <x:c r="E93" s="50" t="str">
        <x:v>1. Mở một card.
2. Click nút đóng trên drawer.
3. Chờ animation.</x:v>
      </x:c>
      <x:c r="F93" s="50" t="str">
        <x:v>Drawer đóng; overlay biến mất; focus quay lại card phù hợp.</x:v>
      </x:c>
      <x:c r="G93" s="50" t="str">
        <x:v>High</x:v>
      </x:c>
      <x:c r="H93" s="50" t="str">
        <x:v>P1</x:v>
      </x:c>
      <x:c r="I93" s="50" t="str">
        <x:v>Functional</x:v>
      </x:c>
      <x:c r="J93" s="50" t="str">
        <x:v>Need more DOM</x:v>
      </x:c>
      <x:c r="K93" s="50" t="str"/>
      <x:c r="L93" s="50" t="str">
        <x:v>Not Run</x:v>
      </x:c>
      <x:c r="M93" s="50" t="str"/>
      <x:c r="N93" s="50" t="str"/>
    </x:row>
    <x:row r="94" ht="72" customHeight="1">
      <x:c r="A94" s="50" t="str">
        <x:v>OVD-020</x:v>
      </x:c>
      <x:c r="B94" s="50" t="str">
        <x:v>Overview Cards &amp; Drawer</x:v>
      </x:c>
      <x:c r="C94" s="50" t="str">
        <x:v>Đóng drawer bằng nút Hủy</x:v>
      </x:c>
      <x:c r="D94" s="50" t="str">
        <x:v>Có tài khoản hợp lệ; đã đăng nhập CMS; nhóm Vua Thợ được phép truy cập. Đang ở trang Dashboard.</x:v>
      </x:c>
      <x:c r="E94" s="50" t="str">
        <x:v>1. Mở một card.
2. Click Hủy.
3. Kiểm tra trạng thái drawer.</x:v>
      </x:c>
      <x:c r="F94" s="50" t="str">
        <x:v>Drawer đóng mà không thay đổi dữ liệu.</x:v>
      </x:c>
      <x:c r="G94" s="50" t="str">
        <x:v>High</x:v>
      </x:c>
      <x:c r="H94" s="50" t="str">
        <x:v>P1</x:v>
      </x:c>
      <x:c r="I94" s="50" t="str">
        <x:v>Functional</x:v>
      </x:c>
      <x:c r="J94" s="50" t="str">
        <x:v>Need more DOM</x:v>
      </x:c>
      <x:c r="K94" s="50" t="str"/>
      <x:c r="L94" s="50" t="str">
        <x:v>Not Run</x:v>
      </x:c>
      <x:c r="M94" s="50" t="str"/>
      <x:c r="N94" s="50" t="str"/>
    </x:row>
    <x:row r="95" ht="72" customHeight="1">
      <x:c r="A95" s="50" t="str">
        <x:v>OVD-021</x:v>
      </x:c>
      <x:c r="B95" s="50" t="str">
        <x:v>Overview Cards &amp; Drawer</x:v>
      </x:c>
      <x:c r="C95" s="50" t="str">
        <x:v>Hành vi nút Xác nhận trong drawer</x:v>
      </x:c>
      <x:c r="D95" s="50" t="str">
        <x:v>Thực hiện trên môi trường test/staging với dữ liệu an toàn.</x:v>
      </x:c>
      <x:c r="E95" s="50" t="str">
        <x:v>1. Mở drawer.
2. Xác định nghiệp vụ của nút Xác nhận.
3. Thực hiện với dữ liệu test an toàn.</x:v>
      </x:c>
      <x:c r="F95" s="50" t="str">
        <x:v>Hành động đúng nghiệp vụ, có thông báo kết quả và không cập nhật nhầm dữ liệu.</x:v>
      </x:c>
      <x:c r="G95" s="50" t="str">
        <x:v>Critical</x:v>
      </x:c>
      <x:c r="H95" s="50" t="str">
        <x:v>P0</x:v>
      </x:c>
      <x:c r="I95" s="50" t="str">
        <x:v>Functional</x:v>
      </x:c>
      <x:c r="J95" s="50" t="str">
        <x:v>Need business requirement</x:v>
      </x:c>
      <x:c r="K95" s="50" t="str"/>
      <x:c r="L95" s="50" t="str">
        <x:v>Not Run</x:v>
      </x:c>
      <x:c r="M95" s="50" t="str"/>
      <x:c r="N95" s="50" t="str"/>
    </x:row>
    <x:row r="96" ht="72" customHeight="1">
      <x:c r="A96" s="50" t="str">
        <x:v>OVD-022</x:v>
      </x:c>
      <x:c r="B96" s="50" t="str">
        <x:v>Overview Cards &amp; Drawer</x:v>
      </x:c>
      <x:c r="C96" s="50" t="str">
        <x:v>Mở card A rồi card B không giữ dữ liệu cũ</x:v>
      </x:c>
      <x:c r="D96" s="50" t="str">
        <x:v>Có tài khoản hợp lệ; đã đăng nhập CMS; nhóm Vua Thợ được phép truy cập. Đang ở trang Dashboard.</x:v>
      </x:c>
      <x:c r="E96" s="50" t="str">
        <x:v>1. Mở card A và ghi nhận nội dung.
2. Đóng drawer.
3. Mở card B.</x:v>
      </x:c>
      <x:c r="F96" s="50" t="str">
        <x:v>Tiêu đề/nội dung cập nhật theo card B; không còn dữ liệu card A.</x:v>
      </x:c>
      <x:c r="G96" s="50" t="str">
        <x:v>High</x:v>
      </x:c>
      <x:c r="H96" s="50" t="str">
        <x:v>P1</x:v>
      </x:c>
      <x:c r="I96" s="50" t="str">
        <x:v>Data Integrity</x:v>
      </x:c>
      <x:c r="J96" s="50" t="str">
        <x:v>Need more DOM</x:v>
      </x:c>
      <x:c r="K96" s="50" t="str"/>
      <x:c r="L96" s="50" t="str">
        <x:v>Not Run</x:v>
      </x:c>
      <x:c r="M96" s="50" t="str"/>
      <x:c r="N96" s="50" t="str"/>
    </x:row>
    <x:row r="97" ht="72" customHeight="1">
      <x:c r="A97" s="50" t="str">
        <x:v>OVD-023</x:v>
      </x:c>
      <x:c r="B97" s="50" t="str">
        <x:v>Overview Cards &amp; Drawer</x:v>
      </x:c>
      <x:c r="C97" s="50" t="str">
        <x:v>Click nhanh nhiều card</x:v>
      </x:c>
      <x:c r="D97" s="50" t="str">
        <x:v>Có tài khoản hợp lệ; đã đăng nhập CMS; nhóm Vua Thợ được phép truy cập. Đang ở trang Dashboard.</x:v>
      </x:c>
      <x:c r="E97" s="50" t="str">
        <x:v>1. Click nhanh lần lượt 2-3 card.
2. Chờ request cuối hoàn tất.
3. Kiểm tra drawer.</x:v>
      </x:c>
      <x:c r="F97" s="50" t="str">
        <x:v>Chỉ một drawer mở; nội dung thuộc card được chọn cuối; không có response cũ ghi đè.</x:v>
      </x:c>
      <x:c r="G97" s="50" t="str">
        <x:v>High</x:v>
      </x:c>
      <x:c r="H97" s="50" t="str">
        <x:v>P1</x:v>
      </x:c>
      <x:c r="I97" s="50" t="str">
        <x:v>Recovery</x:v>
      </x:c>
      <x:c r="J97" s="50" t="str">
        <x:v>Need API/Database</x:v>
      </x:c>
      <x:c r="K97" s="50" t="str"/>
      <x:c r="L97" s="50" t="str">
        <x:v>Not Run</x:v>
      </x:c>
      <x:c r="M97" s="50" t="str"/>
      <x:c r="N97" s="50" t="str"/>
    </x:row>
    <x:row r="98" ht="72" customHeight="1">
      <x:c r="A98" s="50" t="str">
        <x:v>OVD-024</x:v>
      </x:c>
      <x:c r="B98" s="50" t="str">
        <x:v>Overview Cards &amp; Drawer</x:v>
      </x:c>
      <x:c r="C98" s="50" t="str">
        <x:v>Drawer chặn thao tác nền khi mở</x:v>
      </x:c>
      <x:c r="D98" s="50" t="str">
        <x:v>Có tài khoản hợp lệ; đã đăng nhập CMS; nhóm Vua Thợ được phép truy cập. Đang ở trang Dashboard.</x:v>
      </x:c>
      <x:c r="E98" s="50" t="str">
        <x:v>1. Mở drawer.
2. Thử click một card phía sau overlay.</x:v>
      </x:c>
      <x:c r="F98" s="50" t="str">
        <x:v>Nội dung nền không nhận thao tác ngoài mong đợi.</x:v>
      </x:c>
      <x:c r="G98" s="50" t="str">
        <x:v>Medium</x:v>
      </x:c>
      <x:c r="H98" s="50" t="str">
        <x:v>P2</x:v>
      </x:c>
      <x:c r="I98" s="50" t="str">
        <x:v>UI</x:v>
      </x:c>
      <x:c r="J98" s="50" t="str">
        <x:v>Need more DOM</x:v>
      </x:c>
      <x:c r="K98" s="50" t="str"/>
      <x:c r="L98" s="50" t="str">
        <x:v>Not Run</x:v>
      </x:c>
      <x:c r="M98" s="50" t="str"/>
      <x:c r="N98" s="50" t="str"/>
    </x:row>
    <x:row r="99" ht="72" customHeight="1">
      <x:c r="A99" s="50" t="str">
        <x:v>OVD-025</x:v>
      </x:c>
      <x:c r="B99" s="50" t="str">
        <x:v>Overview Cards &amp; Drawer</x:v>
      </x:c>
      <x:c r="C99" s="50" t="str">
        <x:v>Drawer có thể cuộn khi nội dung dài</x:v>
      </x:c>
      <x:c r="D99" s="50" t="str">
        <x:v>Thực hiện trên môi trường test/staging với dữ liệu an toàn.</x:v>
      </x:c>
      <x:c r="E99" s="50" t="str">
        <x:v>1. Mở drawer có nội dung dài.
2. Cuộn đến cuối.
3. Kiểm tra footer Hủy/Xác nhận.</x:v>
      </x:c>
      <x:c r="F99" s="50" t="str">
        <x:v>Nội dung cuộn được; footer không che dữ liệu.</x:v>
      </x:c>
      <x:c r="G99" s="50" t="str">
        <x:v>Low</x:v>
      </x:c>
      <x:c r="H99" s="50" t="str">
        <x:v>P3</x:v>
      </x:c>
      <x:c r="I99" s="50" t="str">
        <x:v>UI</x:v>
      </x:c>
      <x:c r="J99" s="50" t="str">
        <x:v>Need more DOM</x:v>
      </x:c>
      <x:c r="K99" s="50" t="str"/>
      <x:c r="L99" s="50" t="str">
        <x:v>Not Run</x:v>
      </x:c>
      <x:c r="M99" s="50" t="str"/>
      <x:c r="N99" s="50" t="str"/>
    </x:row>
    <x:row r="100" ht="72" customHeight="1">
      <x:c r="A100" s="50" t="str">
        <x:v>OVD-026</x:v>
      </x:c>
      <x:c r="B100" s="50" t="str">
        <x:v>Overview Cards &amp; Drawer</x:v>
      </x:c>
      <x:c r="C100" s="50" t="str">
        <x:v>Card hỗ trợ thao tác bàn phím</x:v>
      </x:c>
      <x:c r="D100" s="50" t="str">
        <x:v>Có tài khoản hợp lệ; đã đăng nhập CMS; nhóm Vua Thợ được phép truy cập. Đang ở trang Dashboard.</x:v>
      </x:c>
      <x:c r="E100" s="50" t="str">
        <x:v>1. Tab đến từng card.
2. Nhấn Enter/Space.
3. Kiểm tra drawer.</x:v>
      </x:c>
      <x:c r="F100" s="50" t="str">
        <x:v>Card nhận focus rõ và kích hoạt đúng bằng bàn phím.</x:v>
      </x:c>
      <x:c r="G100" s="50" t="str">
        <x:v>Medium</x:v>
      </x:c>
      <x:c r="H100" s="50" t="str">
        <x:v>P2</x:v>
      </x:c>
      <x:c r="I100" s="50" t="str">
        <x:v>Accessibility</x:v>
      </x:c>
      <x:c r="J100" s="50" t="str">
        <x:v>Need more DOM</x:v>
      </x:c>
      <x:c r="K100" s="50" t="str"/>
      <x:c r="L100" s="50" t="str">
        <x:v>Not Run</x:v>
      </x:c>
      <x:c r="M100" s="50" t="str"/>
      <x:c r="N100" s="50" t="str"/>
    </x:row>
    <x:row r="101" ht="72" customHeight="1">
      <x:c r="A101" s="50" t="str">
        <x:v>OVD-027</x:v>
      </x:c>
      <x:c r="B101" s="50" t="str">
        <x:v>Overview Cards &amp; Drawer</x:v>
      </x:c>
      <x:c r="C101" s="50" t="str">
        <x:v>Card hiển thị khi giá trị bằng 0</x:v>
      </x:c>
      <x:c r="D101" s="50" t="str">
        <x:v>Thực hiện trên môi trường test/staging với dữ liệu an toàn.</x:v>
      </x:c>
      <x:c r="E101" s="50" t="str">
        <x:v>1. Mock dữ liệu card bằng 0.
2. Mở Dashboard.</x:v>
      </x:c>
      <x:c r="F101" s="50" t="str">
        <x:v>Hiển thị 0 hợp lệ; không coi là thiếu dữ liệu; tỷ lệ không NaN.</x:v>
      </x:c>
      <x:c r="G101" s="50" t="str">
        <x:v>Medium</x:v>
      </x:c>
      <x:c r="H101" s="50" t="str">
        <x:v>P2</x:v>
      </x:c>
      <x:c r="I101" s="50" t="str">
        <x:v>Boundary</x:v>
      </x:c>
      <x:c r="J101" s="50" t="str">
        <x:v>Need API/Database</x:v>
      </x:c>
      <x:c r="K101" s="50" t="str"/>
      <x:c r="L101" s="50" t="str">
        <x:v>Not Run</x:v>
      </x:c>
      <x:c r="M101" s="50" t="str"/>
      <x:c r="N101" s="50" t="str"/>
    </x:row>
    <x:row r="102" ht="72" customHeight="1">
      <x:c r="A102" s="50" t="str">
        <x:v>OVD-028</x:v>
      </x:c>
      <x:c r="B102" s="50" t="str">
        <x:v>Overview Cards &amp; Drawer</x:v>
      </x:c>
      <x:c r="C102" s="50" t="str">
        <x:v>Card hiển thị số rất lớn</x:v>
      </x:c>
      <x:c r="D102" s="50" t="str">
        <x:v>Thực hiện trên môi trường test/staging với dữ liệu an toàn.</x:v>
      </x:c>
      <x:c r="E102" s="50" t="str">
        <x:v>1. Mock số liệu rất lớn.
2. Mở Dashboard ở desktop và tablet.</x:v>
      </x:c>
      <x:c r="F102" s="50" t="str">
        <x:v>Số được format hợp lý, không tràn card.</x:v>
      </x:c>
      <x:c r="G102" s="50" t="str">
        <x:v>Low</x:v>
      </x:c>
      <x:c r="H102" s="50" t="str">
        <x:v>P3</x:v>
      </x:c>
      <x:c r="I102" s="50" t="str">
        <x:v>Boundary</x:v>
      </x:c>
      <x:c r="J102" s="50" t="str">
        <x:v>Need API/Database</x:v>
      </x:c>
      <x:c r="K102" s="50" t="str"/>
      <x:c r="L102" s="50" t="str">
        <x:v>Not Run</x:v>
      </x:c>
      <x:c r="M102" s="50" t="str"/>
      <x:c r="N102" s="50" t="str"/>
    </x:row>
    <x:row r="103" ht="72" customHeight="1">
      <x:c r="A103" s="50" t="str">
        <x:v>GCC-001</x:v>
      </x:c>
      <x:c r="B103" s="50" t="str">
        <x:v>Global Coverage Card</x:v>
      </x:c>
      <x:c r="C103" s="50" t="str">
        <x:v>Hiển thị card Vua Thợ Trên Toàn Cầu</x:v>
      </x:c>
      <x:c r="D103" s="50" t="str">
        <x:v>Có tài khoản hợp lệ; đã đăng nhập CMS; nhóm Vua Thợ được phép truy cập. Đang ở trang Dashboard.</x:v>
      </x:c>
      <x:c r="E103" s="50" t="str">
        <x:v>1. Cuộn đến card.
2. Kiểm tra heading và số quốc gia.</x:v>
      </x:c>
      <x:c r="F103" s="50" t="str">
        <x:v>Card hiển thị đầy đủ với heading và chỉ số quốc gia.</x:v>
      </x:c>
      <x:c r="G103" s="50" t="str">
        <x:v>Medium</x:v>
      </x:c>
      <x:c r="H103" s="50" t="str">
        <x:v>P2</x:v>
      </x:c>
      <x:c r="I103" s="50" t="str">
        <x:v>UI</x:v>
      </x:c>
      <x:c r="J103" s="50" t="str">
        <x:v>Automate</x:v>
      </x:c>
      <x:c r="K103" s="50" t="str"/>
      <x:c r="L103" s="50" t="str">
        <x:v>Not Run</x:v>
      </x:c>
      <x:c r="M103" s="50" t="str"/>
      <x:c r="N103" s="50" t="str"/>
    </x:row>
    <x:row r="104" ht="72" customHeight="1">
      <x:c r="A104" s="50" t="str">
        <x:v>GCC-002</x:v>
      </x:c>
      <x:c r="B104" s="50" t="str">
        <x:v>Global Coverage Card</x:v>
      </x:c>
      <x:c r="C104" s="50" t="str">
        <x:v>Hình bản đồ tải thành công</x:v>
      </x:c>
      <x:c r="D104" s="50" t="str">
        <x:v>Có tài khoản hợp lệ; đã đăng nhập CMS; nhóm Vua Thợ được phép truy cập. Đang ở trang Dashboard.</x:v>
      </x:c>
      <x:c r="E104" s="50" t="str">
        <x:v>1. Tìm img trong card.
2. Kiểm tra alt và naturalWidth.</x:v>
      </x:c>
      <x:c r="F104" s="50" t="str">
        <x:v>Ảnh có alt hợp lệ và naturalWidth &gt; 0.</x:v>
      </x:c>
      <x:c r="G104" s="50" t="str">
        <x:v>Medium</x:v>
      </x:c>
      <x:c r="H104" s="50" t="str">
        <x:v>P2</x:v>
      </x:c>
      <x:c r="I104" s="50" t="str">
        <x:v>UI</x:v>
      </x:c>
      <x:c r="J104" s="50" t="str">
        <x:v>Automate</x:v>
      </x:c>
      <x:c r="K104" s="50" t="str"/>
      <x:c r="L104" s="50" t="str">
        <x:v>Not Run</x:v>
      </x:c>
      <x:c r="M104" s="50" t="str"/>
      <x:c r="N104" s="50" t="str">
        <x:v>DOM có 1 img, alt='map'.</x:v>
      </x:c>
    </x:row>
    <x:row r="105" ht="72" customHeight="1">
      <x:c r="A105" s="50" t="str">
        <x:v>GCC-003</x:v>
      </x:c>
      <x:c r="B105" s="50" t="str">
        <x:v>Global Coverage Card</x:v>
      </x:c>
      <x:c r="C105" s="50" t="str">
        <x:v>Số quốc gia là số dương</x:v>
      </x:c>
      <x:c r="D105" s="50" t="str">
        <x:v>Có tài khoản hợp lệ; đã đăng nhập CMS; nhóm Vua Thợ được phép truy cập. Đang ở trang Dashboard.</x:v>
      </x:c>
      <x:c r="E105" s="50" t="str">
        <x:v>1. Đọc giá trị trước text “Quốc Gia”.
2. Parse số.</x:v>
      </x:c>
      <x:c r="F105" s="50" t="str">
        <x:v>Giá trị là số nguyên &gt; 0.</x:v>
      </x:c>
      <x:c r="G105" s="50" t="str">
        <x:v>Medium</x:v>
      </x:c>
      <x:c r="H105" s="50" t="str">
        <x:v>P2</x:v>
      </x:c>
      <x:c r="I105" s="50" t="str">
        <x:v>Validation</x:v>
      </x:c>
      <x:c r="J105" s="50" t="str">
        <x:v>Automate</x:v>
      </x:c>
      <x:c r="K105" s="50" t="str"/>
      <x:c r="L105" s="50" t="str">
        <x:v>Not Run</x:v>
      </x:c>
      <x:c r="M105" s="50" t="str"/>
      <x:c r="N105" s="50" t="str"/>
    </x:row>
    <x:row r="106" ht="72" customHeight="1">
      <x:c r="A106" s="50" t="str">
        <x:v>GCC-004</x:v>
      </x:c>
      <x:c r="B106" s="50" t="str">
        <x:v>Global Coverage Card</x:v>
      </x:c>
      <x:c r="C106" s="50" t="str">
        <x:v>Click card toàn cầu</x:v>
      </x:c>
      <x:c r="D106" s="50" t="str">
        <x:v>Có tài khoản hợp lệ; đã đăng nhập CMS; nhóm Vua Thợ được phép truy cập. Đang ở trang Dashboard.</x:v>
      </x:c>
      <x:c r="E106" s="50" t="str">
        <x:v>1. Click card.
2. Quan sát URL/drawer/modal.
3. Ghi nhận hành vi thực tế.</x:v>
      </x:c>
      <x:c r="F106" s="50" t="str">
        <x:v>Card phản hồi đúng thiết kế; không tự suy đoán trang đích khi chưa có đặc tả.</x:v>
      </x:c>
      <x:c r="G106" s="50" t="str">
        <x:v>Medium</x:v>
      </x:c>
      <x:c r="H106" s="50" t="str">
        <x:v>P2</x:v>
      </x:c>
      <x:c r="I106" s="50" t="str">
        <x:v>Functional</x:v>
      </x:c>
      <x:c r="J106" s="50" t="str">
        <x:v>Need business requirement</x:v>
      </x:c>
      <x:c r="K106" s="50" t="str"/>
      <x:c r="L106" s="50" t="str">
        <x:v>Not Run</x:v>
      </x:c>
      <x:c r="M106" s="50" t="str"/>
      <x:c r="N106" s="50" t="str"/>
    </x:row>
    <x:row r="107" ht="72" customHeight="1">
      <x:c r="A107" s="50" t="str">
        <x:v>GCC-005</x:v>
      </x:c>
      <x:c r="B107" s="50" t="str">
        <x:v>Global Coverage Card</x:v>
      </x:c>
      <x:c r="C107" s="50" t="str">
        <x:v>Card toàn cầu nhận focus bàn phím</x:v>
      </x:c>
      <x:c r="D107" s="50" t="str">
        <x:v>Có tài khoản hợp lệ; đã đăng nhập CMS; nhóm Vua Thợ được phép truy cập. Đang ở trang Dashboard.</x:v>
      </x:c>
      <x:c r="E107" s="50" t="str">
        <x:v>1. Dùng Tab đến card.
2. Nhấn Enter/Space.</x:v>
      </x:c>
      <x:c r="F107" s="50" t="str">
        <x:v>Có focus rõ và hành vi tương đương click nếu card được thiết kế tương tác.</x:v>
      </x:c>
      <x:c r="G107" s="50" t="str">
        <x:v>Low</x:v>
      </x:c>
      <x:c r="H107" s="50" t="str">
        <x:v>P3</x:v>
      </x:c>
      <x:c r="I107" s="50" t="str">
        <x:v>Accessibility</x:v>
      </x:c>
      <x:c r="J107" s="50" t="str">
        <x:v>Need business requirement</x:v>
      </x:c>
      <x:c r="K107" s="50" t="str"/>
      <x:c r="L107" s="50" t="str">
        <x:v>Not Run</x:v>
      </x:c>
      <x:c r="M107" s="50" t="str"/>
      <x:c r="N107" s="50" t="str"/>
    </x:row>
    <x:row r="108" ht="72" customHeight="1">
      <x:c r="A108" s="50" t="str">
        <x:v>GCC-006</x:v>
      </x:c>
      <x:c r="B108" s="50" t="str">
        <x:v>Global Coverage Card</x:v>
      </x:c>
      <x:c r="C108" s="50" t="str">
        <x:v>Ảnh bản đồ tải lỗi</x:v>
      </x:c>
      <x:c r="D108" s="50" t="str">
        <x:v>Thực hiện trên môi trường test/staging với dữ liệu an toàn.</x:v>
      </x:c>
      <x:c r="E108" s="50" t="str">
        <x:v>1. Chặn request ảnh.
2. Mở Dashboard.</x:v>
      </x:c>
      <x:c r="F108" s="50" t="str">
        <x:v>Có fallback/alt text; layout không vỡ.</x:v>
      </x:c>
      <x:c r="G108" s="50" t="str">
        <x:v>Low</x:v>
      </x:c>
      <x:c r="H108" s="50" t="str">
        <x:v>P3</x:v>
      </x:c>
      <x:c r="I108" s="50" t="str">
        <x:v>Negative</x:v>
      </x:c>
      <x:c r="J108" s="50" t="str">
        <x:v>Need API/Network simulation</x:v>
      </x:c>
      <x:c r="K108" s="50" t="str"/>
      <x:c r="L108" s="50" t="str">
        <x:v>Not Run</x:v>
      </x:c>
      <x:c r="M108" s="50" t="str"/>
      <x:c r="N108" s="50" t="str"/>
    </x:row>
    <x:row r="109" ht="72" customHeight="1">
      <x:c r="A109" s="50" t="str">
        <x:v>GCC-007</x:v>
      </x:c>
      <x:c r="B109" s="50" t="str">
        <x:v>Global Coverage Card</x:v>
      </x:c>
      <x:c r="C109" s="50" t="str">
        <x:v>Số quốc gia bằng 0</x:v>
      </x:c>
      <x:c r="D109" s="50" t="str">
        <x:v>Thực hiện trên môi trường test/staging với dữ liệu an toàn.</x:v>
      </x:c>
      <x:c r="E109" s="50" t="str">
        <x:v>1. Mock giá trị 0.
2. Mở Dashboard.</x:v>
      </x:c>
      <x:c r="F109" s="50" t="str">
        <x:v>Hiển thị 0 đúng định dạng; không xuất hiện text lỗi.</x:v>
      </x:c>
      <x:c r="G109" s="50" t="str">
        <x:v>Low</x:v>
      </x:c>
      <x:c r="H109" s="50" t="str">
        <x:v>P3</x:v>
      </x:c>
      <x:c r="I109" s="50" t="str">
        <x:v>Boundary</x:v>
      </x:c>
      <x:c r="J109" s="50" t="str">
        <x:v>Need API/Database</x:v>
      </x:c>
      <x:c r="K109" s="50" t="str"/>
      <x:c r="L109" s="50" t="str">
        <x:v>Not Run</x:v>
      </x:c>
      <x:c r="M109" s="50" t="str"/>
      <x:c r="N109" s="50" t="str"/>
    </x:row>
    <x:row r="110" ht="72" customHeight="1">
      <x:c r="A110" s="50" t="str">
        <x:v>GCC-008</x:v>
      </x:c>
      <x:c r="B110" s="50" t="str">
        <x:v>Global Coverage Card</x:v>
      </x:c>
      <x:c r="C110" s="50" t="str">
        <x:v>Card toàn cầu responsive</x:v>
      </x:c>
      <x:c r="D110" s="50" t="str">
        <x:v>Có tài khoản hợp lệ; đã đăng nhập CMS; nhóm Vua Thợ được phép truy cập. Đang ở trang Dashboard.</x:v>
      </x:c>
      <x:c r="E110" s="50" t="str">
        <x:v>1. Resize desktop, tablet, mobile.
2. Quan sát ảnh, heading và số.</x:v>
      </x:c>
      <x:c r="F110" s="50" t="str">
        <x:v>Các thành phần không chồng lấn hoặc bị cắt mất.</x:v>
      </x:c>
      <x:c r="G110" s="50" t="str">
        <x:v>Low</x:v>
      </x:c>
      <x:c r="H110" s="50" t="str">
        <x:v>P3</x:v>
      </x:c>
      <x:c r="I110" s="50" t="str">
        <x:v>Responsive</x:v>
      </x:c>
      <x:c r="J110" s="50" t="str">
        <x:v>Automate</x:v>
      </x:c>
      <x:c r="K110" s="50" t="str"/>
      <x:c r="L110" s="50" t="str">
        <x:v>Not Run</x:v>
      </x:c>
      <x:c r="M110" s="50" t="str"/>
      <x:c r="N110" s="50" t="str"/>
    </x:row>
    <x:row r="111" ht="72" customHeight="1">
      <x:c r="A111" s="50" t="str">
        <x:v>UST-001</x:v>
      </x:c>
      <x:c r="B111" s="50" t="str">
        <x:v>User Statistics</x:v>
      </x:c>
      <x:c r="C111" s="50" t="str">
        <x:v>Hiển thị section Danh Sách Người Dùng</x:v>
      </x:c>
      <x:c r="D111" s="50" t="str">
        <x:v>Có tài khoản hợp lệ; đã đăng nhập CMS; nhóm Vua Thợ được phép truy cập. Đang ở trang Dashboard.</x:v>
      </x:c>
      <x:c r="E111" s="50" t="str">
        <x:v>1. Cuộn đến section.
2. Kiểm tra heading, bộ lọc kỳ, custom switch, nút Xuất Excel, biểu đồ và bảng thống kê.</x:v>
      </x:c>
      <x:c r="F111" s="50" t="str">
        <x:v>Các thành phần chính hiển thị đầy đủ.</x:v>
      </x:c>
      <x:c r="G111" s="50" t="str">
        <x:v>High</x:v>
      </x:c>
      <x:c r="H111" s="50" t="str">
        <x:v>P1</x:v>
      </x:c>
      <x:c r="I111" s="50" t="str">
        <x:v>UI</x:v>
      </x:c>
      <x:c r="J111" s="50" t="str">
        <x:v>Automate</x:v>
      </x:c>
      <x:c r="K111" s="50" t="str"/>
      <x:c r="L111" s="50" t="str">
        <x:v>Not Run</x:v>
      </x:c>
      <x:c r="M111" s="50" t="str"/>
      <x:c r="N111" s="50" t="str"/>
    </x:row>
    <x:row r="112" ht="72" customHeight="1">
      <x:c r="A112" s="50" t="str">
        <x:v>UST-002</x:v>
      </x:c>
      <x:c r="B112" s="50" t="str">
        <x:v>User Statistics</x:v>
      </x:c>
      <x:c r="C112" s="50" t="str">
        <x:v>Mặc định chọn kỳ Tháng</x:v>
      </x:c>
      <x:c r="D112" s="50" t="str">
        <x:v>Có tài khoản hợp lệ; đã đăng nhập CMS; nhóm Vua Thợ được phép truy cập. Đang ở trang Dashboard.</x:v>
      </x:c>
      <x:c r="E112" s="50" t="str">
        <x:v>1. Mở Dashboard mới.
2. Kiểm tra active state của các nút kỳ.</x:v>
      </x:c>
      <x:c r="F112" s="50" t="str">
        <x:v>Chỉ nút Tháng active; nhãn và khoảng ngày tương ứng tháng hiện tại.</x:v>
      </x:c>
      <x:c r="G112" s="50" t="str">
        <x:v>Medium</x:v>
      </x:c>
      <x:c r="H112" s="50" t="str">
        <x:v>P2</x:v>
      </x:c>
      <x:c r="I112" s="50" t="str">
        <x:v>Functional</x:v>
      </x:c>
      <x:c r="J112" s="50" t="str">
        <x:v>Automate</x:v>
      </x:c>
      <x:c r="K112" s="50" t="str"/>
      <x:c r="L112" s="50" t="str">
        <x:v>Not Run</x:v>
      </x:c>
      <x:c r="M112" s="50" t="str"/>
      <x:c r="N112" s="50" t="str"/>
    </x:row>
    <x:row r="113" ht="72" customHeight="1">
      <x:c r="A113" s="50" t="str">
        <x:v>UST-003</x:v>
      </x:c>
      <x:c r="B113" s="50" t="str">
        <x:v>User Statistics</x:v>
      </x:c>
      <x:c r="C113" s="50" t="str">
        <x:v>Chỉ một kỳ được active</x:v>
      </x:c>
      <x:c r="D113" s="50" t="str">
        <x:v>Có tài khoản hợp lệ; đã đăng nhập CMS; nhóm Vua Thợ được phép truy cập. Đang ở trang Dashboard.</x:v>
      </x:c>
      <x:c r="E113" s="50" t="str">
        <x:v>1. Click lần lượt Ngày, Tuần, Tháng, Quý, Năm.
2. Sau mỗi click đếm nút active.</x:v>
      </x:c>
      <x:c r="F113" s="50" t="str">
        <x:v>Mỗi thời điểm chỉ có một kỳ active.</x:v>
      </x:c>
      <x:c r="G113" s="50" t="str">
        <x:v>High</x:v>
      </x:c>
      <x:c r="H113" s="50" t="str">
        <x:v>P1</x:v>
      </x:c>
      <x:c r="I113" s="50" t="str">
        <x:v>Functional</x:v>
      </x:c>
      <x:c r="J113" s="50" t="str">
        <x:v>Automate</x:v>
      </x:c>
      <x:c r="K113" s="50" t="str"/>
      <x:c r="L113" s="50" t="str">
        <x:v>Not Run</x:v>
      </x:c>
      <x:c r="M113" s="50" t="str"/>
      <x:c r="N113" s="50" t="str"/>
    </x:row>
    <x:row r="114" ht="72" customHeight="1">
      <x:c r="A114" s="50" t="str">
        <x:v>UST-004</x:v>
      </x:c>
      <x:c r="B114" s="50" t="str">
        <x:v>User Statistics</x:v>
      </x:c>
      <x:c r="C114" s="50" t="str">
        <x:v>Chọn kỳ Ngày cho thống kê người dùng</x:v>
      </x:c>
      <x:c r="D114" s="50" t="str">
        <x:v>Có tài khoản hợp lệ; đã đăng nhập CMS; nhóm Vua Thợ được phép truy cập. Đang ở trang Dashboard.</x:v>
      </x:c>
      <x:c r="E114" s="50" t="str">
        <x:v>1. Trong section Người Dùng click “Ngày”.
2. Chờ dữ liệu cập nhật.
3. Đọc nhãn kỳ, khoảng ngày, biểu đồ và bảng so sánh.</x:v>
      </x:c>
      <x:c r="F114" s="50" t="str">
        <x:v>Nút Ngày active; nhãn/khoảng ngày hợp lệ; biểu đồ và bảng so sánh cập nhật đồng bộ.</x:v>
      </x:c>
      <x:c r="G114" s="50" t="str">
        <x:v>High</x:v>
      </x:c>
      <x:c r="H114" s="50" t="str">
        <x:v>P1</x:v>
      </x:c>
      <x:c r="I114" s="50" t="str">
        <x:v>Functional</x:v>
      </x:c>
      <x:c r="J114" s="50" t="str">
        <x:v>Automate</x:v>
      </x:c>
      <x:c r="K114" s="50" t="str"/>
      <x:c r="L114" s="50" t="str">
        <x:v>Not Run</x:v>
      </x:c>
      <x:c r="M114" s="50" t="str"/>
      <x:c r="N114" s="50" t="str"/>
    </x:row>
    <x:row r="115" ht="72" customHeight="1">
      <x:c r="A115" s="50" t="str">
        <x:v>UST-005</x:v>
      </x:c>
      <x:c r="B115" s="50" t="str">
        <x:v>User Statistics</x:v>
      </x:c>
      <x:c r="C115" s="50" t="str">
        <x:v>Chọn kỳ Tuần cho thống kê người dùng</x:v>
      </x:c>
      <x:c r="D115" s="50" t="str">
        <x:v>Có tài khoản hợp lệ; đã đăng nhập CMS; nhóm Vua Thợ được phép truy cập. Đang ở trang Dashboard.</x:v>
      </x:c>
      <x:c r="E115" s="50" t="str">
        <x:v>1. Trong section Người Dùng click “Tuần”.
2. Chờ dữ liệu cập nhật.
3. Đọc nhãn kỳ, khoảng ngày, biểu đồ và bảng so sánh.</x:v>
      </x:c>
      <x:c r="F115" s="50" t="str">
        <x:v>Nút Tuần active; nhãn/khoảng ngày hợp lệ; biểu đồ và bảng so sánh cập nhật đồng bộ.</x:v>
      </x:c>
      <x:c r="G115" s="50" t="str">
        <x:v>High</x:v>
      </x:c>
      <x:c r="H115" s="50" t="str">
        <x:v>P1</x:v>
      </x:c>
      <x:c r="I115" s="50" t="str">
        <x:v>Functional</x:v>
      </x:c>
      <x:c r="J115" s="50" t="str">
        <x:v>Automate</x:v>
      </x:c>
      <x:c r="K115" s="50" t="str"/>
      <x:c r="L115" s="50" t="str">
        <x:v>Not Run</x:v>
      </x:c>
      <x:c r="M115" s="50" t="str"/>
      <x:c r="N115" s="50" t="str"/>
    </x:row>
    <x:row r="116" ht="72" customHeight="1">
      <x:c r="A116" s="50" t="str">
        <x:v>UST-006</x:v>
      </x:c>
      <x:c r="B116" s="50" t="str">
        <x:v>User Statistics</x:v>
      </x:c>
      <x:c r="C116" s="50" t="str">
        <x:v>Chọn kỳ Tháng cho thống kê người dùng</x:v>
      </x:c>
      <x:c r="D116" s="50" t="str">
        <x:v>Có tài khoản hợp lệ; đã đăng nhập CMS; nhóm Vua Thợ được phép truy cập. Đang ở trang Dashboard.</x:v>
      </x:c>
      <x:c r="E116" s="50" t="str">
        <x:v>1. Trong section Người Dùng click “Tháng”.
2. Chờ dữ liệu cập nhật.
3. Đọc nhãn kỳ, khoảng ngày, biểu đồ và bảng so sánh.</x:v>
      </x:c>
      <x:c r="F116" s="50" t="str">
        <x:v>Nút Tháng active; nhãn/khoảng ngày hợp lệ; biểu đồ và bảng so sánh cập nhật đồng bộ.</x:v>
      </x:c>
      <x:c r="G116" s="50" t="str">
        <x:v>High</x:v>
      </x:c>
      <x:c r="H116" s="50" t="str">
        <x:v>P1</x:v>
      </x:c>
      <x:c r="I116" s="50" t="str">
        <x:v>Functional</x:v>
      </x:c>
      <x:c r="J116" s="50" t="str">
        <x:v>Automate</x:v>
      </x:c>
      <x:c r="K116" s="50" t="str"/>
      <x:c r="L116" s="50" t="str">
        <x:v>Not Run</x:v>
      </x:c>
      <x:c r="M116" s="50" t="str"/>
      <x:c r="N116" s="50" t="str"/>
    </x:row>
    <x:row r="117" ht="72" customHeight="1">
      <x:c r="A117" s="50" t="str">
        <x:v>UST-007</x:v>
      </x:c>
      <x:c r="B117" s="50" t="str">
        <x:v>User Statistics</x:v>
      </x:c>
      <x:c r="C117" s="50" t="str">
        <x:v>Chọn kỳ Quý cho thống kê người dùng</x:v>
      </x:c>
      <x:c r="D117" s="50" t="str">
        <x:v>Có tài khoản hợp lệ; đã đăng nhập CMS; nhóm Vua Thợ được phép truy cập. Đang ở trang Dashboard.</x:v>
      </x:c>
      <x:c r="E117" s="50" t="str">
        <x:v>1. Trong section Người Dùng click “Quý”.
2. Chờ dữ liệu cập nhật.
3. Đọc nhãn kỳ, khoảng ngày, biểu đồ và bảng so sánh.</x:v>
      </x:c>
      <x:c r="F117" s="50" t="str">
        <x:v>Nút Quý active; nhãn/khoảng ngày hợp lệ; biểu đồ và bảng so sánh cập nhật đồng bộ.</x:v>
      </x:c>
      <x:c r="G117" s="50" t="str">
        <x:v>High</x:v>
      </x:c>
      <x:c r="H117" s="50" t="str">
        <x:v>P1</x:v>
      </x:c>
      <x:c r="I117" s="50" t="str">
        <x:v>Functional</x:v>
      </x:c>
      <x:c r="J117" s="50" t="str">
        <x:v>Automate</x:v>
      </x:c>
      <x:c r="K117" s="50" t="str"/>
      <x:c r="L117" s="50" t="str">
        <x:v>Not Run</x:v>
      </x:c>
      <x:c r="M117" s="50" t="str"/>
      <x:c r="N117" s="50" t="str"/>
    </x:row>
    <x:row r="118" ht="72" customHeight="1">
      <x:c r="A118" s="50" t="str">
        <x:v>UST-008</x:v>
      </x:c>
      <x:c r="B118" s="50" t="str">
        <x:v>User Statistics</x:v>
      </x:c>
      <x:c r="C118" s="50" t="str">
        <x:v>Chọn kỳ Năm cho thống kê người dùng</x:v>
      </x:c>
      <x:c r="D118" s="50" t="str">
        <x:v>Có tài khoản hợp lệ; đã đăng nhập CMS; nhóm Vua Thợ được phép truy cập. Đang ở trang Dashboard.</x:v>
      </x:c>
      <x:c r="E118" s="50" t="str">
        <x:v>1. Trong section Người Dùng click “Năm”.
2. Chờ dữ liệu cập nhật.
3. Đọc nhãn kỳ, khoảng ngày, biểu đồ và bảng so sánh.</x:v>
      </x:c>
      <x:c r="F118" s="50" t="str">
        <x:v>Nút Năm active; nhãn/khoảng ngày hợp lệ; biểu đồ và bảng so sánh cập nhật đồng bộ.</x:v>
      </x:c>
      <x:c r="G118" s="50" t="str">
        <x:v>High</x:v>
      </x:c>
      <x:c r="H118" s="50" t="str">
        <x:v>P1</x:v>
      </x:c>
      <x:c r="I118" s="50" t="str">
        <x:v>Functional</x:v>
      </x:c>
      <x:c r="J118" s="50" t="str">
        <x:v>Automate</x:v>
      </x:c>
      <x:c r="K118" s="50" t="str"/>
      <x:c r="L118" s="50" t="str">
        <x:v>Not Run</x:v>
      </x:c>
      <x:c r="M118" s="50" t="str"/>
      <x:c r="N118" s="50" t="str"/>
    </x:row>
    <x:row r="119" ht="72" customHeight="1">
      <x:c r="A119" s="50" t="str">
        <x:v>UST-009</x:v>
      </x:c>
      <x:c r="B119" s="50" t="str">
        <x:v>User Statistics</x:v>
      </x:c>
      <x:c r="C119" s="50" t="str">
        <x:v>Đổi kỳ người dùng không ảnh hưởng kỳ ngành nghề</x:v>
      </x:c>
      <x:c r="D119" s="50" t="str">
        <x:v>Có tài khoản hợp lệ; đã đăng nhập CMS; nhóm Vua Thợ được phép truy cập. Đang ở trang Dashboard.</x:v>
      </x:c>
      <x:c r="E119" s="50" t="str">
        <x:v>1. Ghi nhận active period của ngành nghề.
2. Đổi kỳ section người dùng.
3. Kiểm tra section ngành nghề.</x:v>
      </x:c>
      <x:c r="F119" s="50" t="str">
        <x:v>Active period và dữ liệu ngành nghề không tự thay đổi.</x:v>
      </x:c>
      <x:c r="G119" s="50" t="str">
        <x:v>High</x:v>
      </x:c>
      <x:c r="H119" s="50" t="str">
        <x:v>P1</x:v>
      </x:c>
      <x:c r="I119" s="50" t="str">
        <x:v>Data Integrity</x:v>
      </x:c>
      <x:c r="J119" s="50" t="str">
        <x:v>Automate</x:v>
      </x:c>
      <x:c r="K119" s="50" t="str"/>
      <x:c r="L119" s="50" t="str">
        <x:v>Not Run</x:v>
      </x:c>
      <x:c r="M119" s="50" t="str"/>
      <x:c r="N119" s="50" t="str"/>
    </x:row>
    <x:row r="120" ht="72" customHeight="1">
      <x:c r="A120" s="50" t="str">
        <x:v>UST-010</x:v>
      </x:c>
      <x:c r="B120" s="50" t="str">
        <x:v>User Statistics</x:v>
      </x:c>
      <x:c r="C120" s="50" t="str">
        <x:v>Click nhanh nhiều kỳ không bị race condition</x:v>
      </x:c>
      <x:c r="D120" s="50" t="str">
        <x:v>Có tài khoản hợp lệ; đã đăng nhập CMS; nhóm Vua Thợ được phép truy cập. Đang ở trang Dashboard.</x:v>
      </x:c>
      <x:c r="E120" s="50" t="str">
        <x:v>1. Click nhanh Ngày → Tuần → Năm.
2. Chờ request kết thúc.
3. Kiểm tra active state và dữ liệu.</x:v>
      </x:c>
      <x:c r="F120" s="50" t="str">
        <x:v>Dữ liệu cuối cùng thuộc kỳ Năm; response cũ không ghi đè.</x:v>
      </x:c>
      <x:c r="G120" s="50" t="str">
        <x:v>High</x:v>
      </x:c>
      <x:c r="H120" s="50" t="str">
        <x:v>P1</x:v>
      </x:c>
      <x:c r="I120" s="50" t="str">
        <x:v>Recovery</x:v>
      </x:c>
      <x:c r="J120" s="50" t="str">
        <x:v>Need API/Database</x:v>
      </x:c>
      <x:c r="K120" s="50" t="str"/>
      <x:c r="L120" s="50" t="str">
        <x:v>Not Run</x:v>
      </x:c>
      <x:c r="M120" s="50" t="str"/>
      <x:c r="N120" s="50" t="str"/>
    </x:row>
    <x:row r="121" ht="72" customHeight="1">
      <x:c r="A121" s="50" t="str">
        <x:v>UST-011</x:v>
      </x:c>
      <x:c r="B121" s="50" t="str">
        <x:v>User Statistics</x:v>
      </x:c>
      <x:c r="C121" s="50" t="str">
        <x:v>Bộ chọn kỳ hỗ trợ bàn phím</x:v>
      </x:c>
      <x:c r="D121" s="50" t="str">
        <x:v>Có tài khoản hợp lệ; đã đăng nhập CMS; nhóm Vua Thợ được phép truy cập. Đang ở trang Dashboard.</x:v>
      </x:c>
      <x:c r="E121" s="50" t="str">
        <x:v>1. Tab đến các nút kỳ.
2. Nhấn Enter/Space.
3. Kiểm tra active state.</x:v>
      </x:c>
      <x:c r="F121" s="50" t="str">
        <x:v>Có thể chọn kỳ bằng bàn phím và focus hiển thị rõ.</x:v>
      </x:c>
      <x:c r="G121" s="50" t="str">
        <x:v>Medium</x:v>
      </x:c>
      <x:c r="H121" s="50" t="str">
        <x:v>P2</x:v>
      </x:c>
      <x:c r="I121" s="50" t="str">
        <x:v>Accessibility</x:v>
      </x:c>
      <x:c r="J121" s="50" t="str">
        <x:v>Automate</x:v>
      </x:c>
      <x:c r="K121" s="50" t="str"/>
      <x:c r="L121" s="50" t="str">
        <x:v>Not Run</x:v>
      </x:c>
      <x:c r="M121" s="50" t="str"/>
      <x:c r="N121" s="50" t="str"/>
    </x:row>
    <x:row r="122" ht="72" customHeight="1">
      <x:c r="A122" s="50" t="str">
        <x:v>UST-012</x:v>
      </x:c>
      <x:c r="B122" s="50" t="str">
        <x:v>User Statistics</x:v>
      </x:c>
      <x:c r="C122" s="50" t="str">
        <x:v>Switch Tùy chỉnh người dùng tắt mặc định</x:v>
      </x:c>
      <x:c r="D122" s="50" t="str">
        <x:v>Có tài khoản hợp lệ; đã đăng nhập CMS; nhóm Vua Thợ được phép truy cập. Đang ở trang Dashboard.</x:v>
      </x:c>
      <x:c r="E122" s="50" t="str">
        <x:v>1. Tìm switch gần text “Tùy chỉnh” trong section người dùng.
2. Đọc isSelected.</x:v>
      </x:c>
      <x:c r="F122" s="50" t="str">
        <x:v>Switch không được chọn mặc định.</x:v>
      </x:c>
      <x:c r="G122" s="50" t="str">
        <x:v>Low</x:v>
      </x:c>
      <x:c r="H122" s="50" t="str">
        <x:v>P3</x:v>
      </x:c>
      <x:c r="I122" s="50" t="str">
        <x:v>UI</x:v>
      </x:c>
      <x:c r="J122" s="50" t="str">
        <x:v>Automate</x:v>
      </x:c>
      <x:c r="K122" s="50" t="str"/>
      <x:c r="L122" s="50" t="str">
        <x:v>Not Run</x:v>
      </x:c>
      <x:c r="M122" s="50" t="str"/>
      <x:c r="N122" s="50" t="str"/>
    </x:row>
    <x:row r="123" ht="72" customHeight="1">
      <x:c r="A123" s="50" t="str">
        <x:v>UST-013</x:v>
      </x:c>
      <x:c r="B123" s="50" t="str">
        <x:v>User Statistics</x:v>
      </x:c>
      <x:c r="C123" s="50" t="str">
        <x:v>Bật Tùy chỉnh hiển thị bộ chọn ngày</x:v>
      </x:c>
      <x:c r="D123" s="50" t="str">
        <x:v>Có tài khoản hợp lệ; đã đăng nhập CMS; nhóm Vua Thợ được phép truy cập. Đang ở trang Dashboard.</x:v>
      </x:c>
      <x:c r="E123" s="50" t="str">
        <x:v>1. Bật switch Tùy chỉnh.
2. Chờ date picker/range picker xuất hiện.</x:v>
      </x:c>
      <x:c r="F123" s="50" t="str">
        <x:v>Bộ chọn ngày xuất hiện; các control kỳ xử lý theo thiết kế.</x:v>
      </x:c>
      <x:c r="G123" s="50" t="str">
        <x:v>High</x:v>
      </x:c>
      <x:c r="H123" s="50" t="str">
        <x:v>P1</x:v>
      </x:c>
      <x:c r="I123" s="50" t="str">
        <x:v>Functional</x:v>
      </x:c>
      <x:c r="J123" s="50" t="str">
        <x:v>Need more DOM</x:v>
      </x:c>
      <x:c r="K123" s="50" t="str"/>
      <x:c r="L123" s="50" t="str">
        <x:v>Not Run</x:v>
      </x:c>
      <x:c r="M123" s="50" t="str"/>
      <x:c r="N123" s="50" t="str"/>
    </x:row>
    <x:row r="124" ht="72" customHeight="1">
      <x:c r="A124" s="50" t="str">
        <x:v>UST-014</x:v>
      </x:c>
      <x:c r="B124" s="50" t="str">
        <x:v>User Statistics</x:v>
      </x:c>
      <x:c r="C124" s="50" t="str">
        <x:v>Chọn ngày bắt đầu và kết thúc hợp lệ</x:v>
      </x:c>
      <x:c r="D124" s="50" t="str">
        <x:v>Có tài khoản hợp lệ; đã đăng nhập CMS; nhóm Vua Thợ được phép truy cập. Đang ở trang Dashboard.</x:v>
      </x:c>
      <x:c r="E124" s="50" t="str">
        <x:v>1. Bật Tùy chỉnh.
2. Chọn ngày bắt đầu nhỏ hơn ngày kết thúc.
3. Áp dụng.</x:v>
      </x:c>
      <x:c r="F124" s="50" t="str">
        <x:v>Khoảng ngày hiển thị đúng; biểu đồ và bảng cập nhật theo khoảng chọn.</x:v>
      </x:c>
      <x:c r="G124" s="50" t="str">
        <x:v>High</x:v>
      </x:c>
      <x:c r="H124" s="50" t="str">
        <x:v>P1</x:v>
      </x:c>
      <x:c r="I124" s="50" t="str">
        <x:v>Functional</x:v>
      </x:c>
      <x:c r="J124" s="50" t="str">
        <x:v>Need more DOM</x:v>
      </x:c>
      <x:c r="K124" s="50" t="str"/>
      <x:c r="L124" s="50" t="str">
        <x:v>Not Run</x:v>
      </x:c>
      <x:c r="M124" s="50" t="str"/>
      <x:c r="N124" s="50" t="str"/>
    </x:row>
    <x:row r="125" ht="72" customHeight="1">
      <x:c r="A125" s="50" t="str">
        <x:v>UST-015</x:v>
      </x:c>
      <x:c r="B125" s="50" t="str">
        <x:v>User Statistics</x:v>
      </x:c>
      <x:c r="C125" s="50" t="str">
        <x:v>Ngày bắt đầu lớn hơn ngày kết thúc</x:v>
      </x:c>
      <x:c r="D125" s="50" t="str">
        <x:v>Có tài khoản hợp lệ; đã đăng nhập CMS; nhóm Vua Thợ được phép truy cập. Đang ở trang Dashboard.</x:v>
      </x:c>
      <x:c r="E125" s="50" t="str">
        <x:v>1. Bật Tùy chỉnh.
2. Chọn start &gt; end.
3. Thử áp dụng.</x:v>
      </x:c>
      <x:c r="F125" s="50" t="str">
        <x:v>Hệ thống chặn hoặc tự điều chỉnh theo đặc tả; hiển thị validation rõ.</x:v>
      </x:c>
      <x:c r="G125" s="50" t="str">
        <x:v>High</x:v>
      </x:c>
      <x:c r="H125" s="50" t="str">
        <x:v>P1</x:v>
      </x:c>
      <x:c r="I125" s="50" t="str">
        <x:v>Negative</x:v>
      </x:c>
      <x:c r="J125" s="50" t="str">
        <x:v>Need more DOM</x:v>
      </x:c>
      <x:c r="K125" s="50" t="str"/>
      <x:c r="L125" s="50" t="str">
        <x:v>Not Run</x:v>
      </x:c>
      <x:c r="M125" s="50" t="str"/>
      <x:c r="N125" s="50" t="str"/>
    </x:row>
    <x:row r="126" ht="72" customHeight="1">
      <x:c r="A126" s="50" t="str">
        <x:v>UST-016</x:v>
      </x:c>
      <x:c r="B126" s="50" t="str">
        <x:v>User Statistics</x:v>
      </x:c>
      <x:c r="C126" s="50" t="str">
        <x:v>Chọn cùng một ngày</x:v>
      </x:c>
      <x:c r="D126" s="50" t="str">
        <x:v>Có tài khoản hợp lệ; đã đăng nhập CMS; nhóm Vua Thợ được phép truy cập. Đang ở trang Dashboard.</x:v>
      </x:c>
      <x:c r="E126" s="50" t="str">
        <x:v>1. Bật Tùy chỉnh.
2. Chọn start = end.
3. Áp dụng.</x:v>
      </x:c>
      <x:c r="F126" s="50" t="str">
        <x:v>Dữ liệu của đúng một ngày được hiển thị hoặc validation theo đặc tả.</x:v>
      </x:c>
      <x:c r="G126" s="50" t="str">
        <x:v>Medium</x:v>
      </x:c>
      <x:c r="H126" s="50" t="str">
        <x:v>P2</x:v>
      </x:c>
      <x:c r="I126" s="50" t="str">
        <x:v>Boundary</x:v>
      </x:c>
      <x:c r="J126" s="50" t="str">
        <x:v>Need more DOM</x:v>
      </x:c>
      <x:c r="K126" s="50" t="str"/>
      <x:c r="L126" s="50" t="str">
        <x:v>Not Run</x:v>
      </x:c>
      <x:c r="M126" s="50" t="str"/>
      <x:c r="N126" s="50" t="str"/>
    </x:row>
    <x:row r="127" ht="72" customHeight="1">
      <x:c r="A127" s="50" t="str">
        <x:v>UST-017</x:v>
      </x:c>
      <x:c r="B127" s="50" t="str">
        <x:v>User Statistics</x:v>
      </x:c>
      <x:c r="C127" s="50" t="str">
        <x:v>Chọn khoảng ngày dài</x:v>
      </x:c>
      <x:c r="D127" s="50" t="str">
        <x:v>Có tài khoản hợp lệ; đã đăng nhập CMS; nhóm Vua Thợ được phép truy cập. Đang ở trang Dashboard.</x:v>
      </x:c>
      <x:c r="E127" s="50" t="str">
        <x:v>1. Bật Tùy chỉnh.
2. Chọn khoảng dài nhất được phép.
3. Áp dụng.</x:v>
      </x:c>
      <x:c r="F127" s="50" t="str">
        <x:v>Hệ thống xử lý trong timeout hoặc cảnh báo giới hạn rõ ràng.</x:v>
      </x:c>
      <x:c r="G127" s="50" t="str">
        <x:v>Medium</x:v>
      </x:c>
      <x:c r="H127" s="50" t="str">
        <x:v>P2</x:v>
      </x:c>
      <x:c r="I127" s="50" t="str">
        <x:v>Boundary</x:v>
      </x:c>
      <x:c r="J127" s="50" t="str">
        <x:v>Need business requirement</x:v>
      </x:c>
      <x:c r="K127" s="50" t="str"/>
      <x:c r="L127" s="50" t="str">
        <x:v>Not Run</x:v>
      </x:c>
      <x:c r="M127" s="50" t="str"/>
      <x:c r="N127" s="50" t="str"/>
    </x:row>
    <x:row r="128" ht="72" customHeight="1">
      <x:c r="A128" s="50" t="str">
        <x:v>UST-018</x:v>
      </x:c>
      <x:c r="B128" s="50" t="str">
        <x:v>User Statistics</x:v>
      </x:c>
      <x:c r="C128" s="50" t="str">
        <x:v>Tắt Tùy chỉnh quay về chế độ kỳ</x:v>
      </x:c>
      <x:c r="D128" s="50" t="str">
        <x:v>Có tài khoản hợp lệ; đã đăng nhập CMS; nhóm Vua Thợ được phép truy cập. Đang ở trang Dashboard.</x:v>
      </x:c>
      <x:c r="E128" s="50" t="str">
        <x:v>1. Bật và áp dụng custom date.
2. Tắt switch.
3. Kiểm tra kỳ active và dữ liệu.</x:v>
      </x:c>
      <x:c r="F128" s="50" t="str">
        <x:v>Date picker ẩn; dữ liệu quay về kỳ active/mặc định theo đặc tả.</x:v>
      </x:c>
      <x:c r="G128" s="50" t="str">
        <x:v>Medium</x:v>
      </x:c>
      <x:c r="H128" s="50" t="str">
        <x:v>P2</x:v>
      </x:c>
      <x:c r="I128" s="50" t="str">
        <x:v>Functional</x:v>
      </x:c>
      <x:c r="J128" s="50" t="str">
        <x:v>Need more DOM</x:v>
      </x:c>
      <x:c r="K128" s="50" t="str"/>
      <x:c r="L128" s="50" t="str">
        <x:v>Not Run</x:v>
      </x:c>
      <x:c r="M128" s="50" t="str"/>
      <x:c r="N128" s="50" t="str"/>
    </x:row>
    <x:row r="129" ht="72" customHeight="1">
      <x:c r="A129" s="50" t="str">
        <x:v>UST-019</x:v>
      </x:c>
      <x:c r="B129" s="50" t="str">
        <x:v>User Statistics</x:v>
      </x:c>
      <x:c r="C129" s="50" t="str">
        <x:v>Switch custom người dùng độc lập với ngành nghề</x:v>
      </x:c>
      <x:c r="D129" s="50" t="str">
        <x:v>Có tài khoản hợp lệ; đã đăng nhập CMS; nhóm Vua Thợ được phép truy cập. Đang ở trang Dashboard.</x:v>
      </x:c>
      <x:c r="E129" s="50" t="str">
        <x:v>1. Bật custom date người dùng.
2. Kiểm tra switch ngành nghề.</x:v>
      </x:c>
      <x:c r="F129" s="50" t="str">
        <x:v>Switch ngành nghề không thay đổi.</x:v>
      </x:c>
      <x:c r="G129" s="50" t="str">
        <x:v>High</x:v>
      </x:c>
      <x:c r="H129" s="50" t="str">
        <x:v>P1</x:v>
      </x:c>
      <x:c r="I129" s="50" t="str">
        <x:v>Data Integrity</x:v>
      </x:c>
      <x:c r="J129" s="50" t="str">
        <x:v>Automate</x:v>
      </x:c>
      <x:c r="K129" s="50" t="str"/>
      <x:c r="L129" s="50" t="str">
        <x:v>Not Run</x:v>
      </x:c>
      <x:c r="M129" s="50" t="str"/>
      <x:c r="N129" s="50" t="str"/>
    </x:row>
    <x:row r="130" ht="72" customHeight="1">
      <x:c r="A130" s="50" t="str">
        <x:v>UST-020</x:v>
      </x:c>
      <x:c r="B130" s="50" t="str">
        <x:v>User Statistics</x:v>
      </x:c>
      <x:c r="C130" s="50" t="str">
        <x:v>Nút Xuất Excel hiển thị và enabled</x:v>
      </x:c>
      <x:c r="D130" s="50" t="str">
        <x:v>Có tài khoản hợp lệ; đã đăng nhập CMS; nhóm Vua Thợ được phép truy cập. Đang ở trang Dashboard.</x:v>
      </x:c>
      <x:c r="E130" s="50" t="str">
        <x:v>1. Tìm button “Xuất Excel” trong section người dùng.
2. Kiểm tra displayed/enabled.</x:v>
      </x:c>
      <x:c r="F130" s="50" t="str">
        <x:v>Nút hiển thị và có thể click.</x:v>
      </x:c>
      <x:c r="G130" s="50" t="str">
        <x:v>Medium</x:v>
      </x:c>
      <x:c r="H130" s="50" t="str">
        <x:v>P2</x:v>
      </x:c>
      <x:c r="I130" s="50" t="str">
        <x:v>UI</x:v>
      </x:c>
      <x:c r="J130" s="50" t="str">
        <x:v>Automate</x:v>
      </x:c>
      <x:c r="K130" s="50" t="str"/>
      <x:c r="L130" s="50" t="str">
        <x:v>Not Run</x:v>
      </x:c>
      <x:c r="M130" s="50" t="str"/>
      <x:c r="N130" s="50" t="str"/>
    </x:row>
    <x:row r="131" ht="72" customHeight="1">
      <x:c r="A131" s="50" t="str">
        <x:v>UST-021</x:v>
      </x:c>
      <x:c r="B131" s="50" t="str">
        <x:v>User Statistics</x:v>
      </x:c>
      <x:c r="C131" s="50" t="str">
        <x:v>Xuất Excel thành công theo kỳ đang chọn</x:v>
      </x:c>
      <x:c r="D131" s="50" t="str">
        <x:v>Có tài khoản hợp lệ; đã đăng nhập CMS; nhóm Vua Thợ được phép truy cập. Đang ở trang Dashboard.</x:v>
      </x:c>
      <x:c r="E131" s="50" t="str">
        <x:v>1. Chọn một kỳ.
2. Dọn thư mục download test.
3. Click Xuất Excel.
4. Chờ file hoàn tất.</x:v>
      </x:c>
      <x:c r="F131" s="50" t="str">
        <x:v>Tải đúng một file .xlsx/.xls; dung lượng &gt; 0; không còn .crdownload.</x:v>
      </x:c>
      <x:c r="G131" s="50" t="str">
        <x:v>High</x:v>
      </x:c>
      <x:c r="H131" s="50" t="str">
        <x:v>P1</x:v>
      </x:c>
      <x:c r="I131" s="50" t="str">
        <x:v>Download</x:v>
      </x:c>
      <x:c r="J131" s="50" t="str">
        <x:v>Automate</x:v>
      </x:c>
      <x:c r="K131" s="50" t="str"/>
      <x:c r="L131" s="50" t="str">
        <x:v>Not Run</x:v>
      </x:c>
      <x:c r="M131" s="50" t="str"/>
      <x:c r="N131" s="50" t="str"/>
    </x:row>
    <x:row r="132" ht="72" customHeight="1">
      <x:c r="A132" s="50" t="str">
        <x:v>UST-022</x:v>
      </x:c>
      <x:c r="B132" s="50" t="str">
        <x:v>User Statistics</x:v>
      </x:c>
      <x:c r="C132" s="50" t="str">
        <x:v>Tên file Excel hợp lệ</x:v>
      </x:c>
      <x:c r="D132" s="50" t="str">
        <x:v>Có tài khoản hợp lệ; đã đăng nhập CMS; nhóm Vua Thợ được phép truy cập. Đang ở trang Dashboard.</x:v>
      </x:c>
      <x:c r="E132" s="50" t="str">
        <x:v>1. Xuất Excel.
2. Đọc tên file.</x:v>
      </x:c>
      <x:c r="F132" s="50" t="str">
        <x:v>Tên file theo quy ước, không chứa ký tự lỗi và phản ánh báo cáo/khoảng thời gian nếu đặc tả yêu cầu.</x:v>
      </x:c>
      <x:c r="G132" s="50" t="str">
        <x:v>Medium</x:v>
      </x:c>
      <x:c r="H132" s="50" t="str">
        <x:v>P2</x:v>
      </x:c>
      <x:c r="I132" s="50" t="str">
        <x:v>Download</x:v>
      </x:c>
      <x:c r="J132" s="50" t="str">
        <x:v>Need business requirement</x:v>
      </x:c>
      <x:c r="K132" s="50" t="str"/>
      <x:c r="L132" s="50" t="str">
        <x:v>Not Run</x:v>
      </x:c>
      <x:c r="M132" s="50" t="str"/>
      <x:c r="N132" s="50" t="str"/>
    </x:row>
    <x:row r="133" ht="72" customHeight="1">
      <x:c r="A133" s="50" t="str">
        <x:v>UST-023</x:v>
      </x:c>
      <x:c r="B133" s="50" t="str">
        <x:v>User Statistics</x:v>
      </x:c>
      <x:c r="C133" s="50" t="str">
        <x:v>Nội dung Excel mở được</x:v>
      </x:c>
      <x:c r="D133" s="50" t="str">
        <x:v>Có tài khoản hợp lệ; đã đăng nhập CMS; nhóm Vua Thợ được phép truy cập. Đang ở trang Dashboard.</x:v>
      </x:c>
      <x:c r="E133" s="50" t="str">
        <x:v>1. Xuất file.
2. Mở workbook bằng Apache POI.
3. Đọc sheet, header và dòng dữ liệu.</x:v>
      </x:c>
      <x:c r="F133" s="50" t="str">
        <x:v>Workbook không hỏng; có sheet/header hợp lệ và dữ liệu.</x:v>
      </x:c>
      <x:c r="G133" s="50" t="str">
        <x:v>High</x:v>
      </x:c>
      <x:c r="H133" s="50" t="str">
        <x:v>P1</x:v>
      </x:c>
      <x:c r="I133" s="50" t="str">
        <x:v>Download</x:v>
      </x:c>
      <x:c r="J133" s="50" t="str">
        <x:v>Automate</x:v>
      </x:c>
      <x:c r="K133" s="50" t="str"/>
      <x:c r="L133" s="50" t="str">
        <x:v>Not Run</x:v>
      </x:c>
      <x:c r="M133" s="50" t="str"/>
      <x:c r="N133" s="50" t="str"/>
    </x:row>
    <x:row r="134" ht="72" customHeight="1">
      <x:c r="A134" s="50" t="str">
        <x:v>UST-024</x:v>
      </x:c>
      <x:c r="B134" s="50" t="str">
        <x:v>User Statistics</x:v>
      </x:c>
      <x:c r="C134" s="50" t="str">
        <x:v>Excel phản ánh đúng kỳ lọc</x:v>
      </x:c>
      <x:c r="D134" s="50" t="str">
        <x:v>Có tài khoản hợp lệ; đã đăng nhập CMS; nhóm Vua Thợ được phép truy cập. Đang ở trang Dashboard.</x:v>
      </x:c>
      <x:c r="E134" s="50" t="str">
        <x:v>1. Chọn kỳ và ghi nhận khoảng ngày.
2. Xuất file.
3. Đối chiếu metadata/dữ liệu ngày trong file.</x:v>
      </x:c>
      <x:c r="F134" s="50" t="str">
        <x:v>Dữ liệu trong file thuộc đúng khoảng thời gian đang chọn.</x:v>
      </x:c>
      <x:c r="G134" s="50" t="str">
        <x:v>High</x:v>
      </x:c>
      <x:c r="H134" s="50" t="str">
        <x:v>P1</x:v>
      </x:c>
      <x:c r="I134" s="50" t="str">
        <x:v>Data Integrity</x:v>
      </x:c>
      <x:c r="J134" s="50" t="str">
        <x:v>Need API/Database</x:v>
      </x:c>
      <x:c r="K134" s="50" t="str"/>
      <x:c r="L134" s="50" t="str">
        <x:v>Not Run</x:v>
      </x:c>
      <x:c r="M134" s="50" t="str"/>
      <x:c r="N134" s="50" t="str"/>
    </x:row>
    <x:row r="135" ht="72" customHeight="1">
      <x:c r="A135" s="50" t="str">
        <x:v>UST-025</x:v>
      </x:c>
      <x:c r="B135" s="50" t="str">
        <x:v>User Statistics</x:v>
      </x:c>
      <x:c r="C135" s="50" t="str">
        <x:v>Một lần click chỉ tải một file</x:v>
      </x:c>
      <x:c r="D135" s="50" t="str">
        <x:v>Có tài khoản hợp lệ; đã đăng nhập CMS; nhóm Vua Thợ được phép truy cập. Đang ở trang Dashboard.</x:v>
      </x:c>
      <x:c r="E135" s="50" t="str">
        <x:v>1. Dọn thư mục download.
2. Click Xuất Excel một lần.
3. Đếm file mới.</x:v>
      </x:c>
      <x:c r="F135" s="50" t="str">
        <x:v>Chỉ có một file hợp lệ được tạo.</x:v>
      </x:c>
      <x:c r="G135" s="50" t="str">
        <x:v>Medium</x:v>
      </x:c>
      <x:c r="H135" s="50" t="str">
        <x:v>P2</x:v>
      </x:c>
      <x:c r="I135" s="50" t="str">
        <x:v>Download</x:v>
      </x:c>
      <x:c r="J135" s="50" t="str">
        <x:v>Automate</x:v>
      </x:c>
      <x:c r="K135" s="50" t="str"/>
      <x:c r="L135" s="50" t="str">
        <x:v>Not Run</x:v>
      </x:c>
      <x:c r="M135" s="50" t="str"/>
      <x:c r="N135" s="50" t="str"/>
    </x:row>
    <x:row r="136" ht="72" customHeight="1">
      <x:c r="A136" s="50" t="str">
        <x:v>UST-026</x:v>
      </x:c>
      <x:c r="B136" s="50" t="str">
        <x:v>User Statistics</x:v>
      </x:c>
      <x:c r="C136" s="50" t="str">
        <x:v>Double click Xuất Excel không tạo download trùng</x:v>
      </x:c>
      <x:c r="D136" s="50" t="str">
        <x:v>Có tài khoản hợp lệ; đã đăng nhập CMS; nhóm Vua Thợ được phép truy cập. Đang ở trang Dashboard.</x:v>
      </x:c>
      <x:c r="E136" s="50" t="str">
        <x:v>1. Double click nhanh nút Xuất Excel.
2. Đếm file/request.</x:v>
      </x:c>
      <x:c r="F136" s="50" t="str">
        <x:v>Nút được debounce/disable hoặc chỉ tạo một export theo quy định.</x:v>
      </x:c>
      <x:c r="G136" s="50" t="str">
        <x:v>Medium</x:v>
      </x:c>
      <x:c r="H136" s="50" t="str">
        <x:v>P2</x:v>
      </x:c>
      <x:c r="I136" s="50" t="str">
        <x:v>Negative</x:v>
      </x:c>
      <x:c r="J136" s="50" t="str">
        <x:v>Automate</x:v>
      </x:c>
      <x:c r="K136" s="50" t="str"/>
      <x:c r="L136" s="50" t="str">
        <x:v>Not Run</x:v>
      </x:c>
      <x:c r="M136" s="50" t="str"/>
      <x:c r="N136" s="50" t="str"/>
    </x:row>
    <x:row r="137" ht="72" customHeight="1">
      <x:c r="A137" s="50" t="str">
        <x:v>UST-027</x:v>
      </x:c>
      <x:c r="B137" s="50" t="str">
        <x:v>User Statistics</x:v>
      </x:c>
      <x:c r="C137" s="50" t="str">
        <x:v>Xuất Excel khi custom date đang bật</x:v>
      </x:c>
      <x:c r="D137" s="50" t="str">
        <x:v>Có tài khoản hợp lệ; đã đăng nhập CMS; nhóm Vua Thợ được phép truy cập. Đang ở trang Dashboard.</x:v>
      </x:c>
      <x:c r="E137" s="50" t="str">
        <x:v>1. Bật custom date và áp dụng khoảng hợp lệ.
2. Xuất Excel.
3. Đối chiếu khoảng ngày.</x:v>
      </x:c>
      <x:c r="F137" s="50" t="str">
        <x:v>File chứa đúng dữ liệu custom date.</x:v>
      </x:c>
      <x:c r="G137" s="50" t="str">
        <x:v>High</x:v>
      </x:c>
      <x:c r="H137" s="50" t="str">
        <x:v>P1</x:v>
      </x:c>
      <x:c r="I137" s="50" t="str">
        <x:v>Download</x:v>
      </x:c>
      <x:c r="J137" s="50" t="str">
        <x:v>Need more DOM</x:v>
      </x:c>
      <x:c r="K137" s="50" t="str"/>
      <x:c r="L137" s="50" t="str">
        <x:v>Not Run</x:v>
      </x:c>
      <x:c r="M137" s="50" t="str"/>
      <x:c r="N137" s="50" t="str"/>
    </x:row>
    <x:row r="138" ht="72" customHeight="1">
      <x:c r="A138" s="50" t="str">
        <x:v>UST-028</x:v>
      </x:c>
      <x:c r="B138" s="50" t="str">
        <x:v>User Statistics</x:v>
      </x:c>
      <x:c r="C138" s="50" t="str">
        <x:v>Xử lý lỗi tải Excel</x:v>
      </x:c>
      <x:c r="D138" s="50" t="str">
        <x:v>Thực hiện trên môi trường test/staging với dữ liệu an toàn.</x:v>
      </x:c>
      <x:c r="E138" s="50" t="str">
        <x:v>1. Mock API export lỗi.
2. Click Xuất Excel.</x:v>
      </x:c>
      <x:c r="F138" s="50" t="str">
        <x:v>Hiển thị thông báo lỗi; không để file rỗng/hỏng trong thư mục.</x:v>
      </x:c>
      <x:c r="G138" s="50" t="str">
        <x:v>High</x:v>
      </x:c>
      <x:c r="H138" s="50" t="str">
        <x:v>P1</x:v>
      </x:c>
      <x:c r="I138" s="50" t="str">
        <x:v>Negative</x:v>
      </x:c>
      <x:c r="J138" s="50" t="str">
        <x:v>Need API/Database</x:v>
      </x:c>
      <x:c r="K138" s="50" t="str"/>
      <x:c r="L138" s="50" t="str">
        <x:v>Not Run</x:v>
      </x:c>
      <x:c r="M138" s="50" t="str"/>
      <x:c r="N138" s="50" t="str"/>
    </x:row>
    <x:row r="139" ht="72" customHeight="1">
      <x:c r="A139" s="50" t="str">
        <x:v>UST-029</x:v>
      </x:c>
      <x:c r="B139" s="50" t="str">
        <x:v>User Statistics</x:v>
      </x:c>
      <x:c r="C139" s="50" t="str">
        <x:v>Biểu đồ người dùng/thợ render thành công</x:v>
      </x:c>
      <x:c r="D139" s="50" t="str">
        <x:v>Có tài khoản hợp lệ; đã đăng nhập CMS; nhóm Vua Thợ được phép truy cập. Đang ở trang Dashboard.</x:v>
      </x:c>
      <x:c r="E139" s="50" t="str">
        <x:v>1. Tìm container Recharts trong section người dùng.
2. Kiểm tra SVG width/height và các phần tử series.</x:v>
      </x:c>
      <x:c r="F139" s="50" t="str">
        <x:v>SVG hiển thị với kích thước &gt; 0; không trống.</x:v>
      </x:c>
      <x:c r="G139" s="50" t="str">
        <x:v>High</x:v>
      </x:c>
      <x:c r="H139" s="50" t="str">
        <x:v>P1</x:v>
      </x:c>
      <x:c r="I139" s="50" t="str">
        <x:v>UI</x:v>
      </x:c>
      <x:c r="J139" s="50" t="str">
        <x:v>Automate</x:v>
      </x:c>
      <x:c r="K139" s="50" t="str"/>
      <x:c r="L139" s="50" t="str">
        <x:v>Not Run</x:v>
      </x:c>
      <x:c r="M139" s="50" t="str"/>
      <x:c r="N139" s="50" t="str"/>
    </x:row>
    <x:row r="140" ht="72" customHeight="1">
      <x:c r="A140" s="50" t="str">
        <x:v>UST-030</x:v>
      </x:c>
      <x:c r="B140" s="50" t="str">
        <x:v>User Statistics</x:v>
      </x:c>
      <x:c r="C140" s="50" t="str">
        <x:v>Trục X hiển thị ngày hợp lệ và tăng dần</x:v>
      </x:c>
      <x:c r="D140" s="50" t="str">
        <x:v>Có tài khoản hợp lệ; đã đăng nhập CMS; nhóm Vua Thợ được phép truy cập. Đang ở trang Dashboard.</x:v>
      </x:c>
      <x:c r="E140" s="50" t="str">
        <x:v>1. Đọc các nhãn trục X.
2. Parse ngày.
3. Kiểm tra thứ tự.</x:v>
      </x:c>
      <x:c r="F140" s="50" t="str">
        <x:v>Ngày đúng định dạng và không đảo thứ tự.</x:v>
      </x:c>
      <x:c r="G140" s="50" t="str">
        <x:v>Medium</x:v>
      </x:c>
      <x:c r="H140" s="50" t="str">
        <x:v>P2</x:v>
      </x:c>
      <x:c r="I140" s="50" t="str">
        <x:v>Data Integrity</x:v>
      </x:c>
      <x:c r="J140" s="50" t="str">
        <x:v>Automate</x:v>
      </x:c>
      <x:c r="K140" s="50" t="str"/>
      <x:c r="L140" s="50" t="str">
        <x:v>Not Run</x:v>
      </x:c>
      <x:c r="M140" s="50" t="str"/>
      <x:c r="N140" s="50" t="str"/>
    </x:row>
    <x:row r="141" ht="72" customHeight="1">
      <x:c r="A141" s="50" t="str">
        <x:v>UST-031</x:v>
      </x:c>
      <x:c r="B141" s="50" t="str">
        <x:v>User Statistics</x:v>
      </x:c>
      <x:c r="C141" s="50" t="str">
        <x:v>Trục Y hiển thị số hợp lệ</x:v>
      </x:c>
      <x:c r="D141" s="50" t="str">
        <x:v>Có tài khoản hợp lệ; đã đăng nhập CMS; nhóm Vua Thợ được phép truy cập. Đang ở trang Dashboard.</x:v>
      </x:c>
      <x:c r="E141" s="50" t="str">
        <x:v>1. Đọc các nhãn trục Y.
2. Parse số.</x:v>
      </x:c>
      <x:c r="F141" s="50" t="str">
        <x:v>Các mốc là số hợp lệ, không NaN/Infinity.</x:v>
      </x:c>
      <x:c r="G141" s="50" t="str">
        <x:v>Medium</x:v>
      </x:c>
      <x:c r="H141" s="50" t="str">
        <x:v>P2</x:v>
      </x:c>
      <x:c r="I141" s="50" t="str">
        <x:v>Validation</x:v>
      </x:c>
      <x:c r="J141" s="50" t="str">
        <x:v>Automate</x:v>
      </x:c>
      <x:c r="K141" s="50" t="str"/>
      <x:c r="L141" s="50" t="str">
        <x:v>Not Run</x:v>
      </x:c>
      <x:c r="M141" s="50" t="str"/>
      <x:c r="N141" s="50" t="str"/>
    </x:row>
    <x:row r="142" ht="72" customHeight="1">
      <x:c r="A142" s="50" t="str">
        <x:v>UST-032</x:v>
      </x:c>
      <x:c r="B142" s="50" t="str">
        <x:v>User Statistics</x:v>
      </x:c>
      <x:c r="C142" s="50" t="str">
        <x:v>Biểu đồ có dữ liệu Người dùng và Thợ</x:v>
      </x:c>
      <x:c r="D142" s="50" t="str">
        <x:v>Có tài khoản hợp lệ; đã đăng nhập CMS; nhóm Vua Thợ được phép truy cập. Đang ở trang Dashboard.</x:v>
      </x:c>
      <x:c r="E142" s="50" t="str">
        <x:v>1. Xác định các series/legend/tooltip.
2. Hover các cột.</x:v>
      </x:c>
      <x:c r="F142" s="50" t="str">
        <x:v>Phân biệt được hai loại dữ liệu Người dùng và Thợ theo UI.</x:v>
      </x:c>
      <x:c r="G142" s="50" t="str">
        <x:v>High</x:v>
      </x:c>
      <x:c r="H142" s="50" t="str">
        <x:v>P1</x:v>
      </x:c>
      <x:c r="I142" s="50" t="str">
        <x:v>Data Integrity</x:v>
      </x:c>
      <x:c r="J142" s="50" t="str">
        <x:v>Automate</x:v>
      </x:c>
      <x:c r="K142" s="50" t="str"/>
      <x:c r="L142" s="50" t="str">
        <x:v>Not Run</x:v>
      </x:c>
      <x:c r="M142" s="50" t="str"/>
      <x:c r="N142" s="50" t="str"/>
    </x:row>
    <x:row r="143" ht="72" customHeight="1">
      <x:c r="A143" s="50" t="str">
        <x:v>UST-033</x:v>
      </x:c>
      <x:c r="B143" s="50" t="str">
        <x:v>User Statistics</x:v>
      </x:c>
      <x:c r="C143" s="50" t="str">
        <x:v>Tooltip biểu đồ hiển thị đúng</x:v>
      </x:c>
      <x:c r="D143" s="50" t="str">
        <x:v>Có tài khoản hợp lệ; đã đăng nhập CMS; nhóm Vua Thợ được phép truy cập. Đang ở trang Dashboard.</x:v>
      </x:c>
      <x:c r="E143" s="50" t="str">
        <x:v>1. Hover lần lượt các cột có dữ liệu.
2. Đọc ngày, series và giá trị tooltip.
3. Đối chiếu phần tử biểu đồ.</x:v>
      </x:c>
      <x:c r="F143" s="50" t="str">
        <x:v>Tooltip đúng điểm dữ liệu và không bị che.</x:v>
      </x:c>
      <x:c r="G143" s="50" t="str">
        <x:v>Medium</x:v>
      </x:c>
      <x:c r="H143" s="50" t="str">
        <x:v>P2</x:v>
      </x:c>
      <x:c r="I143" s="50" t="str">
        <x:v>Functional</x:v>
      </x:c>
      <x:c r="J143" s="50" t="str">
        <x:v>Automate</x:v>
      </x:c>
      <x:c r="K143" s="50" t="str"/>
      <x:c r="L143" s="50" t="str">
        <x:v>Not Run</x:v>
      </x:c>
      <x:c r="M143" s="50" t="str"/>
      <x:c r="N143" s="50" t="str"/>
    </x:row>
    <x:row r="144" ht="72" customHeight="1">
      <x:c r="A144" s="50" t="str">
        <x:v>UST-034</x:v>
      </x:c>
      <x:c r="B144" s="50" t="str">
        <x:v>User Statistics</x:v>
      </x:c>
      <x:c r="C144" s="50" t="str">
        <x:v>Biểu đồ cập nhật sau khi đổi kỳ</x:v>
      </x:c>
      <x:c r="D144" s="50" t="str">
        <x:v>Có tài khoản hợp lệ; đã đăng nhập CMS; nhóm Vua Thợ được phép truy cập. Đang ở trang Dashboard.</x:v>
      </x:c>
      <x:c r="E144" s="50" t="str">
        <x:v>1. Ghi nhận nhãn/dữ liệu biểu đồ hiện tại.
2. Đổi kỳ.
3. Chờ render lại.</x:v>
      </x:c>
      <x:c r="F144" s="50" t="str">
        <x:v>Trục và dữ liệu thay đổi theo kỳ; không giữ dữ liệu cũ.</x:v>
      </x:c>
      <x:c r="G144" s="50" t="str">
        <x:v>High</x:v>
      </x:c>
      <x:c r="H144" s="50" t="str">
        <x:v>P1</x:v>
      </x:c>
      <x:c r="I144" s="50" t="str">
        <x:v>Data Integrity</x:v>
      </x:c>
      <x:c r="J144" s="50" t="str">
        <x:v>Automate</x:v>
      </x:c>
      <x:c r="K144" s="50" t="str"/>
      <x:c r="L144" s="50" t="str">
        <x:v>Not Run</x:v>
      </x:c>
      <x:c r="M144" s="50" t="str"/>
      <x:c r="N144" s="50" t="str"/>
    </x:row>
    <x:row r="145" ht="72" customHeight="1">
      <x:c r="A145" s="50" t="str">
        <x:v>UST-035</x:v>
      </x:c>
      <x:c r="B145" s="50" t="str">
        <x:v>User Statistics</x:v>
      </x:c>
      <x:c r="C145" s="50" t="str">
        <x:v>Biểu đồ không có dữ liệu</x:v>
      </x:c>
      <x:c r="D145" s="50" t="str">
        <x:v>Thực hiện trên môi trường test/staging với dữ liệu an toàn.</x:v>
      </x:c>
      <x:c r="E145" s="50" t="str">
        <x:v>1. Mock kỳ không có dữ liệu.
2. Chọn kỳ.</x:v>
      </x:c>
      <x:c r="F145" s="50" t="str">
        <x:v>Hiển thị empty state hợp lý; không crash/NaN.</x:v>
      </x:c>
      <x:c r="G145" s="50" t="str">
        <x:v>Medium</x:v>
      </x:c>
      <x:c r="H145" s="50" t="str">
        <x:v>P2</x:v>
      </x:c>
      <x:c r="I145" s="50" t="str">
        <x:v>Boundary</x:v>
      </x:c>
      <x:c r="J145" s="50" t="str">
        <x:v>Need API/Database</x:v>
      </x:c>
      <x:c r="K145" s="50" t="str"/>
      <x:c r="L145" s="50" t="str">
        <x:v>Not Run</x:v>
      </x:c>
      <x:c r="M145" s="50" t="str"/>
      <x:c r="N145" s="50" t="str"/>
    </x:row>
    <x:row r="146" ht="72" customHeight="1">
      <x:c r="A146" s="50" t="str">
        <x:v>UST-036</x:v>
      </x:c>
      <x:c r="B146" s="50" t="str">
        <x:v>User Statistics</x:v>
      </x:c>
      <x:c r="C146" s="50" t="str">
        <x:v>Biểu đồ có toàn bộ giá trị bằng 0</x:v>
      </x:c>
      <x:c r="D146" s="50" t="str">
        <x:v>Thực hiện trên môi trường test/staging với dữ liệu an toàn.</x:v>
      </x:c>
      <x:c r="E146" s="50" t="str">
        <x:v>1. Mock tất cả giá trị = 0.
2. Mở biểu đồ.</x:v>
      </x:c>
      <x:c r="F146" s="50" t="str">
        <x:v>Biểu đồ/empty state xử lý đúng; trục không lỗi.</x:v>
      </x:c>
      <x:c r="G146" s="50" t="str">
        <x:v>Medium</x:v>
      </x:c>
      <x:c r="H146" s="50" t="str">
        <x:v>P2</x:v>
      </x:c>
      <x:c r="I146" s="50" t="str">
        <x:v>Boundary</x:v>
      </x:c>
      <x:c r="J146" s="50" t="str">
        <x:v>Need API/Database</x:v>
      </x:c>
      <x:c r="K146" s="50" t="str"/>
      <x:c r="L146" s="50" t="str">
        <x:v>Not Run</x:v>
      </x:c>
      <x:c r="M146" s="50" t="str"/>
      <x:c r="N146" s="50" t="str"/>
    </x:row>
    <x:row r="147" ht="72" customHeight="1">
      <x:c r="A147" s="50" t="str">
        <x:v>UST-037</x:v>
      </x:c>
      <x:c r="B147" s="50" t="str">
        <x:v>User Statistics</x:v>
      </x:c>
      <x:c r="C147" s="50" t="str">
        <x:v>Biểu đồ với số liệu rất lớn</x:v>
      </x:c>
      <x:c r="D147" s="50" t="str">
        <x:v>Thực hiện trên môi trường test/staging với dữ liệu an toàn.</x:v>
      </x:c>
      <x:c r="E147" s="50" t="str">
        <x:v>1. Mock số lớn.
2. Mở Dashboard.</x:v>
      </x:c>
      <x:c r="F147" s="50" t="str">
        <x:v>Trục tự scale, nhãn không tràn, tooltip đọc được.</x:v>
      </x:c>
      <x:c r="G147" s="50" t="str">
        <x:v>Low</x:v>
      </x:c>
      <x:c r="H147" s="50" t="str">
        <x:v>P3</x:v>
      </x:c>
      <x:c r="I147" s="50" t="str">
        <x:v>Boundary</x:v>
      </x:c>
      <x:c r="J147" s="50" t="str">
        <x:v>Need API/Database</x:v>
      </x:c>
      <x:c r="K147" s="50" t="str"/>
      <x:c r="L147" s="50" t="str">
        <x:v>Not Run</x:v>
      </x:c>
      <x:c r="M147" s="50" t="str"/>
      <x:c r="N147" s="50" t="str"/>
    </x:row>
    <x:row r="148" ht="72" customHeight="1">
      <x:c r="A148" s="50" t="str">
        <x:v>UST-038</x:v>
      </x:c>
      <x:c r="B148" s="50" t="str">
        <x:v>User Statistics</x:v>
      </x:c>
      <x:c r="C148" s="50" t="str">
        <x:v>Không hiển thị số âm trái nghiệp vụ</x:v>
      </x:c>
      <x:c r="D148" s="50" t="str">
        <x:v>Thực hiện trên môi trường test/staging với dữ liệu an toàn.</x:v>
      </x:c>
      <x:c r="E148" s="50" t="str">
        <x:v>1. Mock API trả số âm.
2. Mở Dashboard.</x:v>
      </x:c>
      <x:c r="F148" s="50" t="str">
        <x:v>UI cảnh báo/không hiển thị sai; testcase phát hiện vi phạm dữ liệu.</x:v>
      </x:c>
      <x:c r="G148" s="50" t="str">
        <x:v>High</x:v>
      </x:c>
      <x:c r="H148" s="50" t="str">
        <x:v>P1</x:v>
      </x:c>
      <x:c r="I148" s="50" t="str">
        <x:v>Negative</x:v>
      </x:c>
      <x:c r="J148" s="50" t="str">
        <x:v>Need API/Database</x:v>
      </x:c>
      <x:c r="K148" s="50" t="str"/>
      <x:c r="L148" s="50" t="str">
        <x:v>Not Run</x:v>
      </x:c>
      <x:c r="M148" s="50" t="str"/>
      <x:c r="N148" s="50" t="str"/>
    </x:row>
    <x:row r="149" ht="72" customHeight="1">
      <x:c r="A149" s="50" t="str">
        <x:v>UST-039</x:v>
      </x:c>
      <x:c r="B149" s="50" t="str">
        <x:v>User Statistics</x:v>
      </x:c>
      <x:c r="C149" s="50" t="str">
        <x:v>Hiển thị bảng Thống kê so với kỳ trước</x:v>
      </x:c>
      <x:c r="D149" s="50" t="str">
        <x:v>Có tài khoản hợp lệ; đã đăng nhập CMS; nhóm Vua Thợ được phép truy cập. Đang ở trang Dashboard.</x:v>
      </x:c>
      <x:c r="E149" s="50" t="str">
        <x:v>1. Tìm heading “Thống kê”.
2. Kiểm tra các cột Hiện tại, Kỳ trước, So sánh.</x:v>
      </x:c>
      <x:c r="F149" s="50" t="str">
        <x:v>Bảng hiển thị đủ cột và khoảng kỳ trước.</x:v>
      </x:c>
      <x:c r="G149" s="50" t="str">
        <x:v>High</x:v>
      </x:c>
      <x:c r="H149" s="50" t="str">
        <x:v>P1</x:v>
      </x:c>
      <x:c r="I149" s="50" t="str">
        <x:v>UI</x:v>
      </x:c>
      <x:c r="J149" s="50" t="str">
        <x:v>Automate</x:v>
      </x:c>
      <x:c r="K149" s="50" t="str"/>
      <x:c r="L149" s="50" t="str">
        <x:v>Not Run</x:v>
      </x:c>
      <x:c r="M149" s="50" t="str"/>
      <x:c r="N149" s="50" t="str"/>
    </x:row>
    <x:row r="150" ht="72" customHeight="1">
      <x:c r="A150" s="50" t="str">
        <x:v>UST-040</x:v>
      </x:c>
      <x:c r="B150" s="50" t="str">
        <x:v>User Statistics</x:v>
      </x:c>
      <x:c r="C150" s="50" t="str">
        <x:v>Kiểm tra dòng so sánh Người dùng</x:v>
      </x:c>
      <x:c r="D150" s="50" t="str">
        <x:v>Có tài khoản hợp lệ; đã đăng nhập CMS; nhóm Vua Thợ được phép truy cập. Đang ở trang Dashboard.</x:v>
      </x:c>
      <x:c r="E150" s="50" t="str">
        <x:v>1. Tìm dòng chỉ số “Người dùng”.
2. Đọc Hiện tại, Kỳ trước, phần trăm và hướng tăng/giảm.
3. Tính abs(current-previous)/previous*100.</x:v>
      </x:c>
      <x:c r="F150" s="50" t="str">
        <x:v>Giá trị là số không âm; phần trăm và hướng tăng/giảm đúng theo phép tính và quy tắc làm tròn.</x:v>
      </x:c>
      <x:c r="G150" s="50" t="str">
        <x:v>High</x:v>
      </x:c>
      <x:c r="H150" s="50" t="str">
        <x:v>P1</x:v>
      </x:c>
      <x:c r="I150" s="50" t="str">
        <x:v>Data Integrity</x:v>
      </x:c>
      <x:c r="J150" s="50" t="str">
        <x:v>Automate</x:v>
      </x:c>
      <x:c r="K150" s="50" t="str"/>
      <x:c r="L150" s="50" t="str">
        <x:v>Not Run</x:v>
      </x:c>
      <x:c r="M150" s="50" t="str"/>
      <x:c r="N150" s="50" t="str"/>
    </x:row>
    <x:row r="151" ht="72" customHeight="1">
      <x:c r="A151" s="50" t="str">
        <x:v>UST-041</x:v>
      </x:c>
      <x:c r="B151" s="50" t="str">
        <x:v>User Statistics</x:v>
      </x:c>
      <x:c r="C151" s="50" t="str">
        <x:v>Kiểm tra dòng so sánh Người dùng Đã KYC</x:v>
      </x:c>
      <x:c r="D151" s="50" t="str">
        <x:v>Có tài khoản hợp lệ; đã đăng nhập CMS; nhóm Vua Thợ được phép truy cập. Đang ở trang Dashboard.</x:v>
      </x:c>
      <x:c r="E151" s="50" t="str">
        <x:v>1. Tìm dòng chỉ số “Người dùng Đã KYC”.
2. Đọc Hiện tại, Kỳ trước, phần trăm và hướng tăng/giảm.
3. Tính abs(current-previous)/previous*100.</x:v>
      </x:c>
      <x:c r="F151" s="50" t="str">
        <x:v>Giá trị là số không âm; phần trăm và hướng tăng/giảm đúng theo phép tính và quy tắc làm tròn.</x:v>
      </x:c>
      <x:c r="G151" s="50" t="str">
        <x:v>High</x:v>
      </x:c>
      <x:c r="H151" s="50" t="str">
        <x:v>P1</x:v>
      </x:c>
      <x:c r="I151" s="50" t="str">
        <x:v>Data Integrity</x:v>
      </x:c>
      <x:c r="J151" s="50" t="str">
        <x:v>Automate</x:v>
      </x:c>
      <x:c r="K151" s="50" t="str"/>
      <x:c r="L151" s="50" t="str">
        <x:v>Not Run</x:v>
      </x:c>
      <x:c r="M151" s="50" t="str"/>
      <x:c r="N151" s="50" t="str"/>
    </x:row>
    <x:row r="152" ht="72" customHeight="1">
      <x:c r="A152" s="50" t="str">
        <x:v>UST-042</x:v>
      </x:c>
      <x:c r="B152" s="50" t="str">
        <x:v>User Statistics</x:v>
      </x:c>
      <x:c r="C152" s="50" t="str">
        <x:v>Kiểm tra dòng so sánh Thợ</x:v>
      </x:c>
      <x:c r="D152" s="50" t="str">
        <x:v>Có tài khoản hợp lệ; đã đăng nhập CMS; nhóm Vua Thợ được phép truy cập. Đang ở trang Dashboard.</x:v>
      </x:c>
      <x:c r="E152" s="50" t="str">
        <x:v>1. Tìm dòng chỉ số “Thợ”.
2. Đọc Hiện tại, Kỳ trước, phần trăm và hướng tăng/giảm.
3. Tính abs(current-previous)/previous*100.</x:v>
      </x:c>
      <x:c r="F152" s="50" t="str">
        <x:v>Giá trị là số không âm; phần trăm và hướng tăng/giảm đúng theo phép tính và quy tắc làm tròn.</x:v>
      </x:c>
      <x:c r="G152" s="50" t="str">
        <x:v>High</x:v>
      </x:c>
      <x:c r="H152" s="50" t="str">
        <x:v>P1</x:v>
      </x:c>
      <x:c r="I152" s="50" t="str">
        <x:v>Data Integrity</x:v>
      </x:c>
      <x:c r="J152" s="50" t="str">
        <x:v>Automate</x:v>
      </x:c>
      <x:c r="K152" s="50" t="str"/>
      <x:c r="L152" s="50" t="str">
        <x:v>Not Run</x:v>
      </x:c>
      <x:c r="M152" s="50" t="str"/>
      <x:c r="N152" s="50" t="str"/>
    </x:row>
    <x:row r="153" ht="72" customHeight="1">
      <x:c r="A153" s="50" t="str">
        <x:v>UST-043</x:v>
      </x:c>
      <x:c r="B153" s="50" t="str">
        <x:v>User Statistics</x:v>
      </x:c>
      <x:c r="C153" s="50" t="str">
        <x:v>Kiểm tra dòng so sánh Thợ Đã KYC</x:v>
      </x:c>
      <x:c r="D153" s="50" t="str">
        <x:v>Có tài khoản hợp lệ; đã đăng nhập CMS; nhóm Vua Thợ được phép truy cập. Đang ở trang Dashboard.</x:v>
      </x:c>
      <x:c r="E153" s="50" t="str">
        <x:v>1. Tìm dòng chỉ số “Thợ Đã KYC”.
2. Đọc Hiện tại, Kỳ trước, phần trăm và hướng tăng/giảm.
3. Tính abs(current-previous)/previous*100.</x:v>
      </x:c>
      <x:c r="F153" s="50" t="str">
        <x:v>Giá trị là số không âm; phần trăm và hướng tăng/giảm đúng theo phép tính và quy tắc làm tròn.</x:v>
      </x:c>
      <x:c r="G153" s="50" t="str">
        <x:v>High</x:v>
      </x:c>
      <x:c r="H153" s="50" t="str">
        <x:v>P1</x:v>
      </x:c>
      <x:c r="I153" s="50" t="str">
        <x:v>Data Integrity</x:v>
      </x:c>
      <x:c r="J153" s="50" t="str">
        <x:v>Automate</x:v>
      </x:c>
      <x:c r="K153" s="50" t="str"/>
      <x:c r="L153" s="50" t="str">
        <x:v>Not Run</x:v>
      </x:c>
      <x:c r="M153" s="50" t="str"/>
      <x:c r="N153" s="50" t="str"/>
    </x:row>
    <x:row r="154" ht="72" customHeight="1">
      <x:c r="A154" s="50" t="str">
        <x:v>UST-044</x:v>
      </x:c>
      <x:c r="B154" s="50" t="str">
        <x:v>User Statistics</x:v>
      </x:c>
      <x:c r="C154" s="50" t="str">
        <x:v>Khoảng kỳ trước liên tục với kỳ hiện tại</x:v>
      </x:c>
      <x:c r="D154" s="50" t="str">
        <x:v>Có tài khoản hợp lệ; đã đăng nhập CMS; nhóm Vua Thợ được phép truy cập. Đang ở trang Dashboard.</x:v>
      </x:c>
      <x:c r="E154" s="50" t="str">
        <x:v>1. Đọc khoảng hiện tại và dòng “So với …”.
2. Parse ngày.
3. So sánh độ dài và tính liên tục.</x:v>
      </x:c>
      <x:c r="F154" s="50" t="str">
        <x:v>Kỳ trước có độ dài tương ứng và kết thúc ngay trước kỳ hiện tại theo quy tắc nghiệp vụ.</x:v>
      </x:c>
      <x:c r="G154" s="50" t="str">
        <x:v>High</x:v>
      </x:c>
      <x:c r="H154" s="50" t="str">
        <x:v>P1</x:v>
      </x:c>
      <x:c r="I154" s="50" t="str">
        <x:v>Data Integrity</x:v>
      </x:c>
      <x:c r="J154" s="50" t="str">
        <x:v>Automate</x:v>
      </x:c>
      <x:c r="K154" s="50" t="str"/>
      <x:c r="L154" s="50" t="str">
        <x:v>Not Run</x:v>
      </x:c>
      <x:c r="M154" s="50" t="str"/>
      <x:c r="N154" s="50" t="str"/>
    </x:row>
    <x:row r="155" ht="72" customHeight="1">
      <x:c r="A155" s="50" t="str">
        <x:v>UST-045</x:v>
      </x:c>
      <x:c r="B155" s="50" t="str">
        <x:v>User Statistics</x:v>
      </x:c>
      <x:c r="C155" s="50" t="str">
        <x:v>Kỳ trước bằng 0</x:v>
      </x:c>
      <x:c r="D155" s="50" t="str">
        <x:v>Thực hiện trên môi trường test/staging với dữ liệu an toàn.</x:v>
      </x:c>
      <x:c r="E155" s="50" t="str">
        <x:v>1. Mock previous=0 và current&gt;0.
2. Mở bảng so sánh.</x:v>
      </x:c>
      <x:c r="F155" s="50" t="str">
        <x:v>Không hiển thị Infinity/NaN; hiển thị quy ước đặc biệt đúng nghiệp vụ.</x:v>
      </x:c>
      <x:c r="G155" s="50" t="str">
        <x:v>High</x:v>
      </x:c>
      <x:c r="H155" s="50" t="str">
        <x:v>P1</x:v>
      </x:c>
      <x:c r="I155" s="50" t="str">
        <x:v>Boundary</x:v>
      </x:c>
      <x:c r="J155" s="50" t="str">
        <x:v>Need business requirement</x:v>
      </x:c>
      <x:c r="K155" s="50" t="str"/>
      <x:c r="L155" s="50" t="str">
        <x:v>Not Run</x:v>
      </x:c>
      <x:c r="M155" s="50" t="str"/>
      <x:c r="N155" s="50" t="str"/>
    </x:row>
    <x:row r="156" ht="72" customHeight="1">
      <x:c r="A156" s="50" t="str">
        <x:v>UST-046</x:v>
      </x:c>
      <x:c r="B156" s="50" t="str">
        <x:v>User Statistics</x:v>
      </x:c>
      <x:c r="C156" s="50" t="str">
        <x:v>Hiện tại bằng kỳ trước</x:v>
      </x:c>
      <x:c r="D156" s="50" t="str">
        <x:v>Thực hiện trên môi trường test/staging với dữ liệu an toàn.</x:v>
      </x:c>
      <x:c r="E156" s="50" t="str">
        <x:v>1. Mock current=previous.
2. Mở bảng.</x:v>
      </x:c>
      <x:c r="F156" s="50" t="str">
        <x:v>Hiển thị 0% và trạng thái trung tính theo thiết kế.</x:v>
      </x:c>
      <x:c r="G156" s="50" t="str">
        <x:v>Medium</x:v>
      </x:c>
      <x:c r="H156" s="50" t="str">
        <x:v>P2</x:v>
      </x:c>
      <x:c r="I156" s="50" t="str">
        <x:v>Boundary</x:v>
      </x:c>
      <x:c r="J156" s="50" t="str">
        <x:v>Need API/Database</x:v>
      </x:c>
      <x:c r="K156" s="50" t="str"/>
      <x:c r="L156" s="50" t="str">
        <x:v>Not Run</x:v>
      </x:c>
      <x:c r="M156" s="50" t="str"/>
      <x:c r="N156" s="50" t="str"/>
    </x:row>
    <x:row r="157" ht="72" customHeight="1">
      <x:c r="A157" s="50" t="str">
        <x:v>UST-047</x:v>
      </x:c>
      <x:c r="B157" s="50" t="str">
        <x:v>User Statistics</x:v>
      </x:c>
      <x:c r="C157" s="50" t="str">
        <x:v>Hiện tại bằng 0 và kỳ trước &gt; 0</x:v>
      </x:c>
      <x:c r="D157" s="50" t="str">
        <x:v>Thực hiện trên môi trường test/staging với dữ liệu an toàn.</x:v>
      </x:c>
      <x:c r="E157" s="50" t="str">
        <x:v>1. Mock current=0, previous&gt;0.
2. Mở bảng.</x:v>
      </x:c>
      <x:c r="F157" s="50" t="str">
        <x:v>Hiển thị giảm 100% và hướng/màu phù hợp.</x:v>
      </x:c>
      <x:c r="G157" s="50" t="str">
        <x:v>High</x:v>
      </x:c>
      <x:c r="H157" s="50" t="str">
        <x:v>P1</x:v>
      </x:c>
      <x:c r="I157" s="50" t="str">
        <x:v>Boundary</x:v>
      </x:c>
      <x:c r="J157" s="50" t="str">
        <x:v>Need API/Database</x:v>
      </x:c>
      <x:c r="K157" s="50" t="str"/>
      <x:c r="L157" s="50" t="str">
        <x:v>Not Run</x:v>
      </x:c>
      <x:c r="M157" s="50" t="str"/>
      <x:c r="N157" s="50" t="str"/>
    </x:row>
    <x:row r="158" ht="72" customHeight="1">
      <x:c r="A158" s="50" t="str">
        <x:v>UST-048</x:v>
      </x:c>
      <x:c r="B158" s="50" t="str">
        <x:v>User Statistics</x:v>
      </x:c>
      <x:c r="C158" s="50" t="str">
        <x:v>Màu và icon tăng/giảm nhất quán</x:v>
      </x:c>
      <x:c r="D158" s="50" t="str">
        <x:v>Có tài khoản hợp lệ; đã đăng nhập CMS; nhóm Vua Thợ được phép truy cập. Đang ở trang Dashboard.</x:v>
      </x:c>
      <x:c r="E158" s="50" t="str">
        <x:v>1. Đọc hướng so sánh từng dòng.
2. Kiểm tra icon và class/màu.</x:v>
      </x:c>
      <x:c r="F158" s="50" t="str">
        <x:v>Tăng/giảm/trung tính dùng icon và màu đúng quy ước thiết kế.</x:v>
      </x:c>
      <x:c r="G158" s="50" t="str">
        <x:v>Medium</x:v>
      </x:c>
      <x:c r="H158" s="50" t="str">
        <x:v>P2</x:v>
      </x:c>
      <x:c r="I158" s="50" t="str">
        <x:v>UI</x:v>
      </x:c>
      <x:c r="J158" s="50" t="str">
        <x:v>Need business requirement</x:v>
      </x:c>
      <x:c r="K158" s="50" t="str"/>
      <x:c r="L158" s="50" t="str">
        <x:v>Not Run</x:v>
      </x:c>
      <x:c r="M158" s="50" t="str"/>
      <x:c r="N158" s="50" t="str"/>
    </x:row>
    <x:row r="159" ht="72" customHeight="1">
      <x:c r="A159" s="50" t="str">
        <x:v>INS-001</x:v>
      </x:c>
      <x:c r="B159" s="50" t="str">
        <x:v>Industry Statistics</x:v>
      </x:c>
      <x:c r="C159" s="50" t="str">
        <x:v>Hiển thị section Danh Sách Ngành Nghề</x:v>
      </x:c>
      <x:c r="D159" s="50" t="str">
        <x:v>Có tài khoản hợp lệ; đã đăng nhập CMS; nhóm Vua Thợ được phép truy cập. Đang ở trang Dashboard.</x:v>
      </x:c>
      <x:c r="E159" s="50" t="str">
        <x:v>1. Cuộn đến section.
2. Kiểm tra heading, bộ lọc kỳ, custom switch, card và ranking.</x:v>
      </x:c>
      <x:c r="F159" s="50" t="str">
        <x:v>Các thành phần chính hiển thị đầy đủ.</x:v>
      </x:c>
      <x:c r="G159" s="50" t="str">
        <x:v>High</x:v>
      </x:c>
      <x:c r="H159" s="50" t="str">
        <x:v>P1</x:v>
      </x:c>
      <x:c r="I159" s="50" t="str">
        <x:v>UI</x:v>
      </x:c>
      <x:c r="J159" s="50" t="str">
        <x:v>Automate</x:v>
      </x:c>
      <x:c r="K159" s="50" t="str"/>
      <x:c r="L159" s="50" t="str">
        <x:v>Not Run</x:v>
      </x:c>
      <x:c r="M159" s="50" t="str"/>
      <x:c r="N159" s="50" t="str"/>
    </x:row>
    <x:row r="160" ht="72" customHeight="1">
      <x:c r="A160" s="50" t="str">
        <x:v>INS-002</x:v>
      </x:c>
      <x:c r="B160" s="50" t="str">
        <x:v>Industry Statistics</x:v>
      </x:c>
      <x:c r="C160" s="50" t="str">
        <x:v>Mặc định chọn kỳ Tháng cho ngành nghề</x:v>
      </x:c>
      <x:c r="D160" s="50" t="str">
        <x:v>Có tài khoản hợp lệ; đã đăng nhập CMS; nhóm Vua Thợ được phép truy cập. Đang ở trang Dashboard.</x:v>
      </x:c>
      <x:c r="E160" s="50" t="str">
        <x:v>1. Mở Dashboard mới.
2. Kiểm tra active state trong section ngành nghề.</x:v>
      </x:c>
      <x:c r="F160" s="50" t="str">
        <x:v>Chỉ Tháng active; nhãn và khoảng ngày phù hợp.</x:v>
      </x:c>
      <x:c r="G160" s="50" t="str">
        <x:v>Medium</x:v>
      </x:c>
      <x:c r="H160" s="50" t="str">
        <x:v>P2</x:v>
      </x:c>
      <x:c r="I160" s="50" t="str">
        <x:v>Functional</x:v>
      </x:c>
      <x:c r="J160" s="50" t="str">
        <x:v>Automate</x:v>
      </x:c>
      <x:c r="K160" s="50" t="str"/>
      <x:c r="L160" s="50" t="str">
        <x:v>Not Run</x:v>
      </x:c>
      <x:c r="M160" s="50" t="str"/>
      <x:c r="N160" s="50" t="str"/>
    </x:row>
    <x:row r="161" ht="72" customHeight="1">
      <x:c r="A161" s="50" t="str">
        <x:v>INS-003</x:v>
      </x:c>
      <x:c r="B161" s="50" t="str">
        <x:v>Industry Statistics</x:v>
      </x:c>
      <x:c r="C161" s="50" t="str">
        <x:v>Chỉ một kỳ ngành nghề active</x:v>
      </x:c>
      <x:c r="D161" s="50" t="str">
        <x:v>Có tài khoản hợp lệ; đã đăng nhập CMS; nhóm Vua Thợ được phép truy cập. Đang ở trang Dashboard.</x:v>
      </x:c>
      <x:c r="E161" s="50" t="str">
        <x:v>1. Click lần lượt các kỳ.
2. Đếm nút active trong section.</x:v>
      </x:c>
      <x:c r="F161" s="50" t="str">
        <x:v>Mỗi thời điểm chỉ một kỳ active.</x:v>
      </x:c>
      <x:c r="G161" s="50" t="str">
        <x:v>High</x:v>
      </x:c>
      <x:c r="H161" s="50" t="str">
        <x:v>P1</x:v>
      </x:c>
      <x:c r="I161" s="50" t="str">
        <x:v>Functional</x:v>
      </x:c>
      <x:c r="J161" s="50" t="str">
        <x:v>Automate</x:v>
      </x:c>
      <x:c r="K161" s="50" t="str"/>
      <x:c r="L161" s="50" t="str">
        <x:v>Not Run</x:v>
      </x:c>
      <x:c r="M161" s="50" t="str"/>
      <x:c r="N161" s="50" t="str"/>
    </x:row>
    <x:row r="162" ht="72" customHeight="1">
      <x:c r="A162" s="50" t="str">
        <x:v>INS-004</x:v>
      </x:c>
      <x:c r="B162" s="50" t="str">
        <x:v>Industry Statistics</x:v>
      </x:c>
      <x:c r="C162" s="50" t="str">
        <x:v>Chọn kỳ Ngày cho ngành nghề</x:v>
      </x:c>
      <x:c r="D162" s="50" t="str">
        <x:v>Có tài khoản hợp lệ; đã đăng nhập CMS; nhóm Vua Thợ được phép truy cập. Đang ở trang Dashboard.</x:v>
      </x:c>
      <x:c r="E162" s="50" t="str">
        <x:v>1. Trong section Ngành nghề click “Ngày”.
2. Chờ dữ liệu cập nhật.
3. Đọc nhãn, card tổng và ranking.</x:v>
      </x:c>
      <x:c r="F162" s="50" t="str">
        <x:v>Nút Ngày active; dữ liệu cập nhật đúng phạm vi.</x:v>
      </x:c>
      <x:c r="G162" s="50" t="str">
        <x:v>High</x:v>
      </x:c>
      <x:c r="H162" s="50" t="str">
        <x:v>P1</x:v>
      </x:c>
      <x:c r="I162" s="50" t="str">
        <x:v>Functional</x:v>
      </x:c>
      <x:c r="J162" s="50" t="str">
        <x:v>Automate</x:v>
      </x:c>
      <x:c r="K162" s="50" t="str"/>
      <x:c r="L162" s="50" t="str">
        <x:v>Not Run</x:v>
      </x:c>
      <x:c r="M162" s="50" t="str"/>
      <x:c r="N162" s="50" t="str"/>
    </x:row>
    <x:row r="163" ht="72" customHeight="1">
      <x:c r="A163" s="50" t="str">
        <x:v>INS-005</x:v>
      </x:c>
      <x:c r="B163" s="50" t="str">
        <x:v>Industry Statistics</x:v>
      </x:c>
      <x:c r="C163" s="50" t="str">
        <x:v>Chọn kỳ Tuần cho ngành nghề</x:v>
      </x:c>
      <x:c r="D163" s="50" t="str">
        <x:v>Có tài khoản hợp lệ; đã đăng nhập CMS; nhóm Vua Thợ được phép truy cập. Đang ở trang Dashboard.</x:v>
      </x:c>
      <x:c r="E163" s="50" t="str">
        <x:v>1. Trong section Ngành nghề click “Tuần”.
2. Chờ dữ liệu cập nhật.
3. Đọc nhãn, card tổng và ranking.</x:v>
      </x:c>
      <x:c r="F163" s="50" t="str">
        <x:v>Nút Tuần active; dữ liệu cập nhật đúng phạm vi.</x:v>
      </x:c>
      <x:c r="G163" s="50" t="str">
        <x:v>High</x:v>
      </x:c>
      <x:c r="H163" s="50" t="str">
        <x:v>P1</x:v>
      </x:c>
      <x:c r="I163" s="50" t="str">
        <x:v>Functional</x:v>
      </x:c>
      <x:c r="J163" s="50" t="str">
        <x:v>Automate</x:v>
      </x:c>
      <x:c r="K163" s="50" t="str"/>
      <x:c r="L163" s="50" t="str">
        <x:v>Not Run</x:v>
      </x:c>
      <x:c r="M163" s="50" t="str"/>
      <x:c r="N163" s="50" t="str"/>
    </x:row>
    <x:row r="164" ht="72" customHeight="1">
      <x:c r="A164" s="50" t="str">
        <x:v>INS-006</x:v>
      </x:c>
      <x:c r="B164" s="50" t="str">
        <x:v>Industry Statistics</x:v>
      </x:c>
      <x:c r="C164" s="50" t="str">
        <x:v>Chọn kỳ Tháng cho ngành nghề</x:v>
      </x:c>
      <x:c r="D164" s="50" t="str">
        <x:v>Có tài khoản hợp lệ; đã đăng nhập CMS; nhóm Vua Thợ được phép truy cập. Đang ở trang Dashboard.</x:v>
      </x:c>
      <x:c r="E164" s="50" t="str">
        <x:v>1. Trong section Ngành nghề click “Tháng”.
2. Chờ dữ liệu cập nhật.
3. Đọc nhãn, card tổng và ranking.</x:v>
      </x:c>
      <x:c r="F164" s="50" t="str">
        <x:v>Nút Tháng active; dữ liệu cập nhật đúng phạm vi.</x:v>
      </x:c>
      <x:c r="G164" s="50" t="str">
        <x:v>High</x:v>
      </x:c>
      <x:c r="H164" s="50" t="str">
        <x:v>P1</x:v>
      </x:c>
      <x:c r="I164" s="50" t="str">
        <x:v>Functional</x:v>
      </x:c>
      <x:c r="J164" s="50" t="str">
        <x:v>Automate</x:v>
      </x:c>
      <x:c r="K164" s="50" t="str"/>
      <x:c r="L164" s="50" t="str">
        <x:v>Not Run</x:v>
      </x:c>
      <x:c r="M164" s="50" t="str"/>
      <x:c r="N164" s="50" t="str"/>
    </x:row>
    <x:row r="165" ht="72" customHeight="1">
      <x:c r="A165" s="50" t="str">
        <x:v>INS-007</x:v>
      </x:c>
      <x:c r="B165" s="50" t="str">
        <x:v>Industry Statistics</x:v>
      </x:c>
      <x:c r="C165" s="50" t="str">
        <x:v>Chọn kỳ Quý cho ngành nghề</x:v>
      </x:c>
      <x:c r="D165" s="50" t="str">
        <x:v>Có tài khoản hợp lệ; đã đăng nhập CMS; nhóm Vua Thợ được phép truy cập. Đang ở trang Dashboard.</x:v>
      </x:c>
      <x:c r="E165" s="50" t="str">
        <x:v>1. Trong section Ngành nghề click “Quý”.
2. Chờ dữ liệu cập nhật.
3. Đọc nhãn, card tổng và ranking.</x:v>
      </x:c>
      <x:c r="F165" s="50" t="str">
        <x:v>Nút Quý active; dữ liệu cập nhật đúng phạm vi.</x:v>
      </x:c>
      <x:c r="G165" s="50" t="str">
        <x:v>High</x:v>
      </x:c>
      <x:c r="H165" s="50" t="str">
        <x:v>P1</x:v>
      </x:c>
      <x:c r="I165" s="50" t="str">
        <x:v>Functional</x:v>
      </x:c>
      <x:c r="J165" s="50" t="str">
        <x:v>Automate</x:v>
      </x:c>
      <x:c r="K165" s="50" t="str"/>
      <x:c r="L165" s="50" t="str">
        <x:v>Not Run</x:v>
      </x:c>
      <x:c r="M165" s="50" t="str"/>
      <x:c r="N165" s="50" t="str"/>
    </x:row>
    <x:row r="166" ht="72" customHeight="1">
      <x:c r="A166" s="50" t="str">
        <x:v>INS-008</x:v>
      </x:c>
      <x:c r="B166" s="50" t="str">
        <x:v>Industry Statistics</x:v>
      </x:c>
      <x:c r="C166" s="50" t="str">
        <x:v>Chọn kỳ Năm cho ngành nghề</x:v>
      </x:c>
      <x:c r="D166" s="50" t="str">
        <x:v>Có tài khoản hợp lệ; đã đăng nhập CMS; nhóm Vua Thợ được phép truy cập. Đang ở trang Dashboard.</x:v>
      </x:c>
      <x:c r="E166" s="50" t="str">
        <x:v>1. Trong section Ngành nghề click “Năm”.
2. Chờ dữ liệu cập nhật.
3. Đọc nhãn, card tổng và ranking.</x:v>
      </x:c>
      <x:c r="F166" s="50" t="str">
        <x:v>Nút Năm active; dữ liệu cập nhật đúng phạm vi.</x:v>
      </x:c>
      <x:c r="G166" s="50" t="str">
        <x:v>High</x:v>
      </x:c>
      <x:c r="H166" s="50" t="str">
        <x:v>P1</x:v>
      </x:c>
      <x:c r="I166" s="50" t="str">
        <x:v>Functional</x:v>
      </x:c>
      <x:c r="J166" s="50" t="str">
        <x:v>Automate</x:v>
      </x:c>
      <x:c r="K166" s="50" t="str"/>
      <x:c r="L166" s="50" t="str">
        <x:v>Not Run</x:v>
      </x:c>
      <x:c r="M166" s="50" t="str"/>
      <x:c r="N166" s="50" t="str"/>
    </x:row>
    <x:row r="167" ht="72" customHeight="1">
      <x:c r="A167" s="50" t="str">
        <x:v>INS-009</x:v>
      </x:c>
      <x:c r="B167" s="50" t="str">
        <x:v>Industry Statistics</x:v>
      </x:c>
      <x:c r="C167" s="50" t="str">
        <x:v>Chọn kỳ Tất cả cho ngành nghề</x:v>
      </x:c>
      <x:c r="D167" s="50" t="str">
        <x:v>Có tài khoản hợp lệ; đã đăng nhập CMS; nhóm Vua Thợ được phép truy cập. Đang ở trang Dashboard.</x:v>
      </x:c>
      <x:c r="E167" s="50" t="str">
        <x:v>1. Trong section Ngành nghề click “Tất cả”.
2. Chờ dữ liệu cập nhật.
3. Đọc nhãn, card tổng và ranking.</x:v>
      </x:c>
      <x:c r="F167" s="50" t="str">
        <x:v>Nút Tất cả active; dữ liệu cập nhật đúng phạm vi.</x:v>
      </x:c>
      <x:c r="G167" s="50" t="str">
        <x:v>High</x:v>
      </x:c>
      <x:c r="H167" s="50" t="str">
        <x:v>P1</x:v>
      </x:c>
      <x:c r="I167" s="50" t="str">
        <x:v>Functional</x:v>
      </x:c>
      <x:c r="J167" s="50" t="str">
        <x:v>Automate</x:v>
      </x:c>
      <x:c r="K167" s="50" t="str"/>
      <x:c r="L167" s="50" t="str">
        <x:v>Not Run</x:v>
      </x:c>
      <x:c r="M167" s="50" t="str"/>
      <x:c r="N167" s="50" t="str"/>
    </x:row>
    <x:row r="168" ht="72" customHeight="1">
      <x:c r="A168" s="50" t="str">
        <x:v>INS-010</x:v>
      </x:c>
      <x:c r="B168" s="50" t="str">
        <x:v>Industry Statistics</x:v>
      </x:c>
      <x:c r="C168" s="50" t="str">
        <x:v>Đổi kỳ ngành nghề không ảnh hưởng người dùng</x:v>
      </x:c>
      <x:c r="D168" s="50" t="str">
        <x:v>Có tài khoản hợp lệ; đã đăng nhập CMS; nhóm Vua Thợ được phép truy cập. Đang ở trang Dashboard.</x:v>
      </x:c>
      <x:c r="E168" s="50" t="str">
        <x:v>1. Ghi nhận kỳ người dùng.
2. Đổi kỳ ngành nghề.
3. Kiểm tra section người dùng.</x:v>
      </x:c>
      <x:c r="F168" s="50" t="str">
        <x:v>Kỳ và dữ liệu người dùng không thay đổi.</x:v>
      </x:c>
      <x:c r="G168" s="50" t="str">
        <x:v>High</x:v>
      </x:c>
      <x:c r="H168" s="50" t="str">
        <x:v>P1</x:v>
      </x:c>
      <x:c r="I168" s="50" t="str">
        <x:v>Data Integrity</x:v>
      </x:c>
      <x:c r="J168" s="50" t="str">
        <x:v>Automate</x:v>
      </x:c>
      <x:c r="K168" s="50" t="str"/>
      <x:c r="L168" s="50" t="str">
        <x:v>Not Run</x:v>
      </x:c>
      <x:c r="M168" s="50" t="str"/>
      <x:c r="N168" s="50" t="str"/>
    </x:row>
    <x:row r="169" ht="72" customHeight="1">
      <x:c r="A169" s="50" t="str">
        <x:v>INS-011</x:v>
      </x:c>
      <x:c r="B169" s="50" t="str">
        <x:v>Industry Statistics</x:v>
      </x:c>
      <x:c r="C169" s="50" t="str">
        <x:v>Click nhanh nhiều kỳ ngành nghề</x:v>
      </x:c>
      <x:c r="D169" s="50" t="str">
        <x:v>Có tài khoản hợp lệ; đã đăng nhập CMS; nhóm Vua Thợ được phép truy cập. Đang ở trang Dashboard.</x:v>
      </x:c>
      <x:c r="E169" s="50" t="str">
        <x:v>1. Click nhanh Ngày → Quý → Tất cả.
2. Chờ request cuối.</x:v>
      </x:c>
      <x:c r="F169" s="50" t="str">
        <x:v>Dữ liệu cuối cùng thuộc Tất cả; không bị response cũ ghi đè.</x:v>
      </x:c>
      <x:c r="G169" s="50" t="str">
        <x:v>High</x:v>
      </x:c>
      <x:c r="H169" s="50" t="str">
        <x:v>P1</x:v>
      </x:c>
      <x:c r="I169" s="50" t="str">
        <x:v>Recovery</x:v>
      </x:c>
      <x:c r="J169" s="50" t="str">
        <x:v>Need API/Database</x:v>
      </x:c>
      <x:c r="K169" s="50" t="str"/>
      <x:c r="L169" s="50" t="str">
        <x:v>Not Run</x:v>
      </x:c>
      <x:c r="M169" s="50" t="str"/>
      <x:c r="N169" s="50" t="str"/>
    </x:row>
    <x:row r="170" ht="72" customHeight="1">
      <x:c r="A170" s="50" t="str">
        <x:v>INS-012</x:v>
      </x:c>
      <x:c r="B170" s="50" t="str">
        <x:v>Industry Statistics</x:v>
      </x:c>
      <x:c r="C170" s="50" t="str">
        <x:v>Bộ chọn kỳ ngành nghề hỗ trợ bàn phím</x:v>
      </x:c>
      <x:c r="D170" s="50" t="str">
        <x:v>Có tài khoản hợp lệ; đã đăng nhập CMS; nhóm Vua Thợ được phép truy cập. Đang ở trang Dashboard.</x:v>
      </x:c>
      <x:c r="E170" s="50" t="str">
        <x:v>1. Tab đến nút kỳ.
2. Nhấn Enter/Space.</x:v>
      </x:c>
      <x:c r="F170" s="50" t="str">
        <x:v>Có thể chọn kỳ và thấy focus rõ.</x:v>
      </x:c>
      <x:c r="G170" s="50" t="str">
        <x:v>Medium</x:v>
      </x:c>
      <x:c r="H170" s="50" t="str">
        <x:v>P2</x:v>
      </x:c>
      <x:c r="I170" s="50" t="str">
        <x:v>Accessibility</x:v>
      </x:c>
      <x:c r="J170" s="50" t="str">
        <x:v>Automate</x:v>
      </x:c>
      <x:c r="K170" s="50" t="str"/>
      <x:c r="L170" s="50" t="str">
        <x:v>Not Run</x:v>
      </x:c>
      <x:c r="M170" s="50" t="str"/>
      <x:c r="N170" s="50" t="str"/>
    </x:row>
    <x:row r="171" ht="72" customHeight="1">
      <x:c r="A171" s="50" t="str">
        <x:v>INS-013</x:v>
      </x:c>
      <x:c r="B171" s="50" t="str">
        <x:v>Industry Statistics</x:v>
      </x:c>
      <x:c r="C171" s="50" t="str">
        <x:v>Switch Tùy chỉnh ngành nghề tắt mặc định</x:v>
      </x:c>
      <x:c r="D171" s="50" t="str">
        <x:v>Có tài khoản hợp lệ; đã đăng nhập CMS; nhóm Vua Thợ được phép truy cập. Đang ở trang Dashboard.</x:v>
      </x:c>
      <x:c r="E171" s="50" t="str">
        <x:v>1. Tìm switch Tùy chỉnh trong đúng section.
2. Đọc isSelected.</x:v>
      </x:c>
      <x:c r="F171" s="50" t="str">
        <x:v>Switch tắt mặc định.</x:v>
      </x:c>
      <x:c r="G171" s="50" t="str">
        <x:v>Low</x:v>
      </x:c>
      <x:c r="H171" s="50" t="str">
        <x:v>P3</x:v>
      </x:c>
      <x:c r="I171" s="50" t="str">
        <x:v>UI</x:v>
      </x:c>
      <x:c r="J171" s="50" t="str">
        <x:v>Automate</x:v>
      </x:c>
      <x:c r="K171" s="50" t="str"/>
      <x:c r="L171" s="50" t="str">
        <x:v>Not Run</x:v>
      </x:c>
      <x:c r="M171" s="50" t="str"/>
      <x:c r="N171" s="50" t="str"/>
    </x:row>
    <x:row r="172" ht="72" customHeight="1">
      <x:c r="A172" s="50" t="str">
        <x:v>INS-014</x:v>
      </x:c>
      <x:c r="B172" s="50" t="str">
        <x:v>Industry Statistics</x:v>
      </x:c>
      <x:c r="C172" s="50" t="str">
        <x:v>Bật custom date ngành nghề</x:v>
      </x:c>
      <x:c r="D172" s="50" t="str">
        <x:v>Có tài khoản hợp lệ; đã đăng nhập CMS; nhóm Vua Thợ được phép truy cập. Đang ở trang Dashboard.</x:v>
      </x:c>
      <x:c r="E172" s="50" t="str">
        <x:v>1. Bật switch.
2. Chờ date picker.</x:v>
      </x:c>
      <x:c r="F172" s="50" t="str">
        <x:v>Date picker xuất hiện trong section ngành nghề.</x:v>
      </x:c>
      <x:c r="G172" s="50" t="str">
        <x:v>High</x:v>
      </x:c>
      <x:c r="H172" s="50" t="str">
        <x:v>P1</x:v>
      </x:c>
      <x:c r="I172" s="50" t="str">
        <x:v>Functional</x:v>
      </x:c>
      <x:c r="J172" s="50" t="str">
        <x:v>Need more DOM</x:v>
      </x:c>
      <x:c r="K172" s="50" t="str"/>
      <x:c r="L172" s="50" t="str">
        <x:v>Not Run</x:v>
      </x:c>
      <x:c r="M172" s="50" t="str"/>
      <x:c r="N172" s="50" t="str"/>
    </x:row>
    <x:row r="173" ht="72" customHeight="1">
      <x:c r="A173" s="50" t="str">
        <x:v>INS-015</x:v>
      </x:c>
      <x:c r="B173" s="50" t="str">
        <x:v>Industry Statistics</x:v>
      </x:c>
      <x:c r="C173" s="50" t="str">
        <x:v>Áp dụng custom date ngành nghề hợp lệ</x:v>
      </x:c>
      <x:c r="D173" s="50" t="str">
        <x:v>Có tài khoản hợp lệ; đã đăng nhập CMS; nhóm Vua Thợ được phép truy cập. Đang ở trang Dashboard.</x:v>
      </x:c>
      <x:c r="E173" s="50" t="str">
        <x:v>1. Chọn start &lt; end.
2. Áp dụng.
3. Kiểm tra card và ranking.</x:v>
      </x:c>
      <x:c r="F173" s="50" t="str">
        <x:v>Dữ liệu ngành nghề cập nhật theo khoảng chọn.</x:v>
      </x:c>
      <x:c r="G173" s="50" t="str">
        <x:v>High</x:v>
      </x:c>
      <x:c r="H173" s="50" t="str">
        <x:v>P1</x:v>
      </x:c>
      <x:c r="I173" s="50" t="str">
        <x:v>Functional</x:v>
      </x:c>
      <x:c r="J173" s="50" t="str">
        <x:v>Need more DOM</x:v>
      </x:c>
      <x:c r="K173" s="50" t="str"/>
      <x:c r="L173" s="50" t="str">
        <x:v>Not Run</x:v>
      </x:c>
      <x:c r="M173" s="50" t="str"/>
      <x:c r="N173" s="50" t="str"/>
    </x:row>
    <x:row r="174" ht="72" customHeight="1">
      <x:c r="A174" s="50" t="str">
        <x:v>INS-016</x:v>
      </x:c>
      <x:c r="B174" s="50" t="str">
        <x:v>Industry Statistics</x:v>
      </x:c>
      <x:c r="C174" s="50" t="str">
        <x:v>Custom date ngành nghề start &gt; end</x:v>
      </x:c>
      <x:c r="D174" s="50" t="str">
        <x:v>Có tài khoản hợp lệ; đã đăng nhập CMS; nhóm Vua Thợ được phép truy cập. Đang ở trang Dashboard.</x:v>
      </x:c>
      <x:c r="E174" s="50" t="str">
        <x:v>1. Chọn start &gt; end.
2. Thử áp dụng.</x:v>
      </x:c>
      <x:c r="F174" s="50" t="str">
        <x:v>Chặn và hiển thị validation rõ.</x:v>
      </x:c>
      <x:c r="G174" s="50" t="str">
        <x:v>High</x:v>
      </x:c>
      <x:c r="H174" s="50" t="str">
        <x:v>P1</x:v>
      </x:c>
      <x:c r="I174" s="50" t="str">
        <x:v>Negative</x:v>
      </x:c>
      <x:c r="J174" s="50" t="str">
        <x:v>Need more DOM</x:v>
      </x:c>
      <x:c r="K174" s="50" t="str"/>
      <x:c r="L174" s="50" t="str">
        <x:v>Not Run</x:v>
      </x:c>
      <x:c r="M174" s="50" t="str"/>
      <x:c r="N174" s="50" t="str"/>
    </x:row>
    <x:row r="175" ht="72" customHeight="1">
      <x:c r="A175" s="50" t="str">
        <x:v>INS-017</x:v>
      </x:c>
      <x:c r="B175" s="50" t="str">
        <x:v>Industry Statistics</x:v>
      </x:c>
      <x:c r="C175" s="50" t="str">
        <x:v>Custom date ngành nghề cùng một ngày</x:v>
      </x:c>
      <x:c r="D175" s="50" t="str">
        <x:v>Có tài khoản hợp lệ; đã đăng nhập CMS; nhóm Vua Thợ được phép truy cập. Đang ở trang Dashboard.</x:v>
      </x:c>
      <x:c r="E175" s="50" t="str">
        <x:v>1. Chọn start=end.
2. Áp dụng.</x:v>
      </x:c>
      <x:c r="F175" s="50" t="str">
        <x:v>Hiển thị dữ liệu một ngày hoặc validation đúng đặc tả.</x:v>
      </x:c>
      <x:c r="G175" s="50" t="str">
        <x:v>Medium</x:v>
      </x:c>
      <x:c r="H175" s="50" t="str">
        <x:v>P2</x:v>
      </x:c>
      <x:c r="I175" s="50" t="str">
        <x:v>Boundary</x:v>
      </x:c>
      <x:c r="J175" s="50" t="str">
        <x:v>Need more DOM</x:v>
      </x:c>
      <x:c r="K175" s="50" t="str"/>
      <x:c r="L175" s="50" t="str">
        <x:v>Not Run</x:v>
      </x:c>
      <x:c r="M175" s="50" t="str"/>
      <x:c r="N175" s="50" t="str"/>
    </x:row>
    <x:row r="176" ht="72" customHeight="1">
      <x:c r="A176" s="50" t="str">
        <x:v>INS-018</x:v>
      </x:c>
      <x:c r="B176" s="50" t="str">
        <x:v>Industry Statistics</x:v>
      </x:c>
      <x:c r="C176" s="50" t="str">
        <x:v>Tắt custom date ngành nghề</x:v>
      </x:c>
      <x:c r="D176" s="50" t="str">
        <x:v>Có tài khoản hợp lệ; đã đăng nhập CMS; nhóm Vua Thợ được phép truy cập. Đang ở trang Dashboard.</x:v>
      </x:c>
      <x:c r="E176" s="50" t="str">
        <x:v>1. Áp dụng custom date.
2. Tắt switch.
3. Kiểm tra kỳ active.</x:v>
      </x:c>
      <x:c r="F176" s="50" t="str">
        <x:v>Date picker ẩn và dữ liệu quay về chế độ kỳ.</x:v>
      </x:c>
      <x:c r="G176" s="50" t="str">
        <x:v>Medium</x:v>
      </x:c>
      <x:c r="H176" s="50" t="str">
        <x:v>P2</x:v>
      </x:c>
      <x:c r="I176" s="50" t="str">
        <x:v>Functional</x:v>
      </x:c>
      <x:c r="J176" s="50" t="str">
        <x:v>Need more DOM</x:v>
      </x:c>
      <x:c r="K176" s="50" t="str"/>
      <x:c r="L176" s="50" t="str">
        <x:v>Not Run</x:v>
      </x:c>
      <x:c r="M176" s="50" t="str"/>
      <x:c r="N176" s="50" t="str"/>
    </x:row>
    <x:row r="177" ht="72" customHeight="1">
      <x:c r="A177" s="50" t="str">
        <x:v>INS-019</x:v>
      </x:c>
      <x:c r="B177" s="50" t="str">
        <x:v>Industry Statistics</x:v>
      </x:c>
      <x:c r="C177" s="50" t="str">
        <x:v>Switch custom ngành nghề độc lập với người dùng</x:v>
      </x:c>
      <x:c r="D177" s="50" t="str">
        <x:v>Có tài khoản hợp lệ; đã đăng nhập CMS; nhóm Vua Thợ được phép truy cập. Đang ở trang Dashboard.</x:v>
      </x:c>
      <x:c r="E177" s="50" t="str">
        <x:v>1. Bật switch ngành nghề.
2. Kiểm tra switch người dùng.</x:v>
      </x:c>
      <x:c r="F177" s="50" t="str">
        <x:v>Switch người dùng không thay đổi.</x:v>
      </x:c>
      <x:c r="G177" s="50" t="str">
        <x:v>High</x:v>
      </x:c>
      <x:c r="H177" s="50" t="str">
        <x:v>P1</x:v>
      </x:c>
      <x:c r="I177" s="50" t="str">
        <x:v>Data Integrity</x:v>
      </x:c>
      <x:c r="J177" s="50" t="str">
        <x:v>Automate</x:v>
      </x:c>
      <x:c r="K177" s="50" t="str"/>
      <x:c r="L177" s="50" t="str">
        <x:v>Not Run</x:v>
      </x:c>
      <x:c r="M177" s="50" t="str"/>
      <x:c r="N177" s="50" t="str"/>
    </x:row>
    <x:row r="178" ht="72" customHeight="1">
      <x:c r="A178" s="50" t="str">
        <x:v>INS-020</x:v>
      </x:c>
      <x:c r="B178" s="50" t="str">
        <x:v>Industry Statistics</x:v>
      </x:c>
      <x:c r="C178" s="50" t="str">
        <x:v>Hiển thị Số lượt ĐK Thợ chính</x:v>
      </x:c>
      <x:c r="D178" s="50" t="str">
        <x:v>Có tài khoản hợp lệ; đã đăng nhập CMS; nhóm Vua Thợ được phép truy cập. Đang ở trang Dashboard.</x:v>
      </x:c>
      <x:c r="E178" s="50" t="str">
        <x:v>1. Tìm card Thợ chính.
2. Đọc khoảng thời gian và giá trị.
3. Parse số.</x:v>
      </x:c>
      <x:c r="F178" s="50" t="str">
        <x:v>Giá trị là số nguyên không âm; khoảng ngày hợp lệ.</x:v>
      </x:c>
      <x:c r="G178" s="50" t="str">
        <x:v>High</x:v>
      </x:c>
      <x:c r="H178" s="50" t="str">
        <x:v>P1</x:v>
      </x:c>
      <x:c r="I178" s="50" t="str">
        <x:v>Data Integrity</x:v>
      </x:c>
      <x:c r="J178" s="50" t="str">
        <x:v>Automate</x:v>
      </x:c>
      <x:c r="K178" s="50" t="str"/>
      <x:c r="L178" s="50" t="str">
        <x:v>Not Run</x:v>
      </x:c>
      <x:c r="M178" s="50" t="str"/>
      <x:c r="N178" s="50" t="str"/>
    </x:row>
    <x:row r="179" ht="72" customHeight="1">
      <x:c r="A179" s="50" t="str">
        <x:v>INS-021</x:v>
      </x:c>
      <x:c r="B179" s="50" t="str">
        <x:v>Industry Statistics</x:v>
      </x:c>
      <x:c r="C179" s="50" t="str">
        <x:v>Hiển thị Số lượt ĐK Thợ phụ</x:v>
      </x:c>
      <x:c r="D179" s="50" t="str">
        <x:v>Có tài khoản hợp lệ; đã đăng nhập CMS; nhóm Vua Thợ được phép truy cập. Đang ở trang Dashboard.</x:v>
      </x:c>
      <x:c r="E179" s="50" t="str">
        <x:v>1. Tìm card Thợ phụ.
2. Đọc nhãn phạm vi và giá trị.
3. Parse số.</x:v>
      </x:c>
      <x:c r="F179" s="50" t="str">
        <x:v>Giá trị là số nguyên không âm; nhãn phạm vi hiển thị.</x:v>
      </x:c>
      <x:c r="G179" s="50" t="str">
        <x:v>High</x:v>
      </x:c>
      <x:c r="H179" s="50" t="str">
        <x:v>P1</x:v>
      </x:c>
      <x:c r="I179" s="50" t="str">
        <x:v>Data Integrity</x:v>
      </x:c>
      <x:c r="J179" s="50" t="str">
        <x:v>Automate</x:v>
      </x:c>
      <x:c r="K179" s="50" t="str"/>
      <x:c r="L179" s="50" t="str">
        <x:v>Not Run</x:v>
      </x:c>
      <x:c r="M179" s="50" t="str"/>
      <x:c r="N179" s="50" t="str"/>
    </x:row>
    <x:row r="180" ht="72" customHeight="1">
      <x:c r="A180" s="50" t="str">
        <x:v>INS-022</x:v>
      </x:c>
      <x:c r="B180" s="50" t="str">
        <x:v>Industry Statistics</x:v>
      </x:c>
      <x:c r="C180" s="50" t="str">
        <x:v>Thợ chính cập nhật khi đổi kỳ</x:v>
      </x:c>
      <x:c r="D180" s="50" t="str">
        <x:v>Có tài khoản hợp lệ; đã đăng nhập CMS; nhóm Vua Thợ được phép truy cập. Đang ở trang Dashboard.</x:v>
      </x:c>
      <x:c r="E180" s="50" t="str">
        <x:v>1. Ghi nhận giá trị Thợ chính.
2. Đổi kỳ.
3. Chờ cập nhật.</x:v>
      </x:c>
      <x:c r="F180" s="50" t="str">
        <x:v>Giá trị/nhãn thời gian cập nhật theo kỳ.</x:v>
      </x:c>
      <x:c r="G180" s="50" t="str">
        <x:v>High</x:v>
      </x:c>
      <x:c r="H180" s="50" t="str">
        <x:v>P1</x:v>
      </x:c>
      <x:c r="I180" s="50" t="str">
        <x:v>Data Integrity</x:v>
      </x:c>
      <x:c r="J180" s="50" t="str">
        <x:v>Automate</x:v>
      </x:c>
      <x:c r="K180" s="50" t="str"/>
      <x:c r="L180" s="50" t="str">
        <x:v>Not Run</x:v>
      </x:c>
      <x:c r="M180" s="50" t="str"/>
      <x:c r="N180" s="50" t="str"/>
    </x:row>
    <x:row r="181" ht="72" customHeight="1">
      <x:c r="A181" s="50" t="str">
        <x:v>INS-023</x:v>
      </x:c>
      <x:c r="B181" s="50" t="str">
        <x:v>Industry Statistics</x:v>
      </x:c>
      <x:c r="C181" s="50" t="str">
        <x:v>Phạm vi Thợ phụ khi đổi kỳ</x:v>
      </x:c>
      <x:c r="D181" s="50" t="str">
        <x:v>Có tài khoản hợp lệ; đã đăng nhập CMS; nhóm Vua Thợ được phép truy cập. Đang ở trang Dashboard.</x:v>
      </x:c>
      <x:c r="E181" s="50" t="str">
        <x:v>1. Ghi nhận nhãn “Từ trước đến nay” và giá trị.
2. Đổi kỳ.
3. Quan sát thay đổi.</x:v>
      </x:c>
      <x:c r="F181" s="50" t="str">
        <x:v>Hành vi khớp quy định nghiệp vụ; nhãn và dữ liệu không mâu thuẫn.</x:v>
      </x:c>
      <x:c r="G181" s="50" t="str">
        <x:v>High</x:v>
      </x:c>
      <x:c r="H181" s="50" t="str">
        <x:v>P1</x:v>
      </x:c>
      <x:c r="I181" s="50" t="str">
        <x:v>Data Integrity</x:v>
      </x:c>
      <x:c r="J181" s="50" t="str">
        <x:v>Need business requirement</x:v>
      </x:c>
      <x:c r="K181" s="50" t="str"/>
      <x:c r="L181" s="50" t="str">
        <x:v>Not Run</x:v>
      </x:c>
      <x:c r="M181" s="50" t="str"/>
      <x:c r="N181" s="50" t="str"/>
    </x:row>
    <x:row r="182" ht="72" customHeight="1">
      <x:c r="A182" s="50" t="str">
        <x:v>INS-024</x:v>
      </x:c>
      <x:c r="B182" s="50" t="str">
        <x:v>Industry Statistics</x:v>
      </x:c>
      <x:c r="C182" s="50" t="str">
        <x:v>Không hoán đổi số Thợ chính và Thợ phụ</x:v>
      </x:c>
      <x:c r="D182" s="50" t="str">
        <x:v>Có tài khoản hợp lệ; đã đăng nhập CMS; nhóm Vua Thợ được phép truy cập. Đang ở trang Dashboard.</x:v>
      </x:c>
      <x:c r="E182" s="50" t="str">
        <x:v>1. Đọc hai card theo heading.
2. Đối chiếu nguồn dữ liệu/API nếu có.</x:v>
      </x:c>
      <x:c r="F182" s="50" t="str">
        <x:v>Mỗi số liệu nằm đúng card.</x:v>
      </x:c>
      <x:c r="G182" s="50" t="str">
        <x:v>High</x:v>
      </x:c>
      <x:c r="H182" s="50" t="str">
        <x:v>P1</x:v>
      </x:c>
      <x:c r="I182" s="50" t="str">
        <x:v>Data Integrity</x:v>
      </x:c>
      <x:c r="J182" s="50" t="str">
        <x:v>Need API/Database</x:v>
      </x:c>
      <x:c r="K182" s="50" t="str"/>
      <x:c r="L182" s="50" t="str">
        <x:v>Not Run</x:v>
      </x:c>
      <x:c r="M182" s="50" t="str"/>
      <x:c r="N182" s="50" t="str"/>
    </x:row>
    <x:row r="183" ht="72" customHeight="1">
      <x:c r="A183" s="50" t="str">
        <x:v>INS-025</x:v>
      </x:c>
      <x:c r="B183" s="50" t="str">
        <x:v>Industry Statistics</x:v>
      </x:c>
      <x:c r="C183" s="50" t="str">
        <x:v>Card đăng ký bằng 0</x:v>
      </x:c>
      <x:c r="D183" s="50" t="str">
        <x:v>Thực hiện trên môi trường test/staging với dữ liệu an toàn.</x:v>
      </x:c>
      <x:c r="E183" s="50" t="str">
        <x:v>1. Mock giá trị 0.
2. Mở section.</x:v>
      </x:c>
      <x:c r="F183" s="50" t="str">
        <x:v>Hiển thị 0 hợp lệ; ranking/percentage xử lý không NaN.</x:v>
      </x:c>
      <x:c r="G183" s="50" t="str">
        <x:v>Medium</x:v>
      </x:c>
      <x:c r="H183" s="50" t="str">
        <x:v>P2</x:v>
      </x:c>
      <x:c r="I183" s="50" t="str">
        <x:v>Boundary</x:v>
      </x:c>
      <x:c r="J183" s="50" t="str">
        <x:v>Need API/Database</x:v>
      </x:c>
      <x:c r="K183" s="50" t="str"/>
      <x:c r="L183" s="50" t="str">
        <x:v>Not Run</x:v>
      </x:c>
      <x:c r="M183" s="50" t="str"/>
      <x:c r="N183" s="50" t="str"/>
    </x:row>
    <x:row r="184" ht="72" customHeight="1">
      <x:c r="A184" s="50" t="str">
        <x:v>INS-026</x:v>
      </x:c>
      <x:c r="B184" s="50" t="str">
        <x:v>Industry Statistics</x:v>
      </x:c>
      <x:c r="C184" s="50" t="str">
        <x:v>Hiển thị danh sách Top ngành nghề</x:v>
      </x:c>
      <x:c r="D184" s="50" t="str">
        <x:v>Có tài khoản hợp lệ; đã đăng nhập CMS; nhóm Vua Thợ được phép truy cập. Đang ở trang Dashboard.</x:v>
      </x:c>
      <x:c r="E184" s="50" t="str">
        <x:v>1. Tìm heading Top ngành nghề.
2. Lấy các item ranking displayed.</x:v>
      </x:c>
      <x:c r="F184" s="50" t="str">
        <x:v>Có danh sách hoặc empty state hợp lệ; không có item rỗng.</x:v>
      </x:c>
      <x:c r="G184" s="50" t="str">
        <x:v>High</x:v>
      </x:c>
      <x:c r="H184" s="50" t="str">
        <x:v>P1</x:v>
      </x:c>
      <x:c r="I184" s="50" t="str">
        <x:v>UI</x:v>
      </x:c>
      <x:c r="J184" s="50" t="str">
        <x:v>Automate</x:v>
      </x:c>
      <x:c r="K184" s="50" t="str"/>
      <x:c r="L184" s="50" t="str">
        <x:v>Not Run</x:v>
      </x:c>
      <x:c r="M184" s="50" t="str"/>
      <x:c r="N184" s="50" t="str"/>
    </x:row>
    <x:row r="185" ht="72" customHeight="1">
      <x:c r="A185" s="50" t="str">
        <x:v>INS-027</x:v>
      </x:c>
      <x:c r="B185" s="50" t="str">
        <x:v>Industry Statistics</x:v>
      </x:c>
      <x:c r="C185" s="50" t="str">
        <x:v>Thứ hạng liên tục và không trùng</x:v>
      </x:c>
      <x:c r="D185" s="50" t="str">
        <x:v>Có tài khoản hợp lệ; đã đăng nhập CMS; nhóm Vua Thợ được phép truy cập. Đang ở trang Dashboard.</x:v>
      </x:c>
      <x:c r="E185" s="50" t="str">
        <x:v>1. Đọc rank từng item.
2. Parse số và kiểm tra chuỗi.</x:v>
      </x:c>
      <x:c r="F185" s="50" t="str">
        <x:v>Rank bắt đầu từ 1, tăng liên tục, không trùng.</x:v>
      </x:c>
      <x:c r="G185" s="50" t="str">
        <x:v>High</x:v>
      </x:c>
      <x:c r="H185" s="50" t="str">
        <x:v>P1</x:v>
      </x:c>
      <x:c r="I185" s="50" t="str">
        <x:v>Data Integrity</x:v>
      </x:c>
      <x:c r="J185" s="50" t="str">
        <x:v>Automate</x:v>
      </x:c>
      <x:c r="K185" s="50" t="str"/>
      <x:c r="L185" s="50" t="str">
        <x:v>Not Run</x:v>
      </x:c>
      <x:c r="M185" s="50" t="str"/>
      <x:c r="N185" s="50" t="str"/>
    </x:row>
    <x:row r="186" ht="72" customHeight="1">
      <x:c r="A186" s="50" t="str">
        <x:v>INS-028</x:v>
      </x:c>
      <x:c r="B186" s="50" t="str">
        <x:v>Industry Statistics</x:v>
      </x:c>
      <x:c r="C186" s="50" t="str">
        <x:v>Tên ngành nghề không rỗng</x:v>
      </x:c>
      <x:c r="D186" s="50" t="str">
        <x:v>Có tài khoản hợp lệ; đã đăng nhập CMS; nhóm Vua Thợ được phép truy cập. Đang ở trang Dashboard.</x:v>
      </x:c>
      <x:c r="E186" s="50" t="str">
        <x:v>1. Đọc tên từng item.
2. Trim khoảng trắng.</x:v>
      </x:c>
      <x:c r="F186" s="50" t="str">
        <x:v>Tên không rỗng và không chỉ gồm khoảng trắng.</x:v>
      </x:c>
      <x:c r="G186" s="50" t="str">
        <x:v>Medium</x:v>
      </x:c>
      <x:c r="H186" s="50" t="str">
        <x:v>P2</x:v>
      </x:c>
      <x:c r="I186" s="50" t="str">
        <x:v>Validation</x:v>
      </x:c>
      <x:c r="J186" s="50" t="str">
        <x:v>Automate</x:v>
      </x:c>
      <x:c r="K186" s="50" t="str"/>
      <x:c r="L186" s="50" t="str">
        <x:v>Not Run</x:v>
      </x:c>
      <x:c r="M186" s="50" t="str"/>
      <x:c r="N186" s="50" t="str"/>
    </x:row>
    <x:row r="187" ht="72" customHeight="1">
      <x:c r="A187" s="50" t="str">
        <x:v>INS-029</x:v>
      </x:c>
      <x:c r="B187" s="50" t="str">
        <x:v>Industry Statistics</x:v>
      </x:c>
      <x:c r="C187" s="50" t="str">
        <x:v>Danh sách sắp giảm dần theo Trong kỳ</x:v>
      </x:c>
      <x:c r="D187" s="50" t="str">
        <x:v>Có tài khoản hợp lệ; đã đăng nhập CMS; nhóm Vua Thợ được phép truy cập. Đang ở trang Dashboard.</x:v>
      </x:c>
      <x:c r="E187" s="50" t="str">
        <x:v>1. Đọc số Trong kỳ từng item.
2. So sánh thứ tự.</x:v>
      </x:c>
      <x:c r="F187" s="50" t="str">
        <x:v>Giá trị không tăng khi đi xuống danh sách; tie xử lý theo đặc tả.</x:v>
      </x:c>
      <x:c r="G187" s="50" t="str">
        <x:v>High</x:v>
      </x:c>
      <x:c r="H187" s="50" t="str">
        <x:v>P1</x:v>
      </x:c>
      <x:c r="I187" s="50" t="str">
        <x:v>Data Integrity</x:v>
      </x:c>
      <x:c r="J187" s="50" t="str">
        <x:v>Automate</x:v>
      </x:c>
      <x:c r="K187" s="50" t="str"/>
      <x:c r="L187" s="50" t="str">
        <x:v>Not Run</x:v>
      </x:c>
      <x:c r="M187" s="50" t="str"/>
      <x:c r="N187" s="50" t="str"/>
    </x:row>
    <x:row r="188" ht="72" customHeight="1">
      <x:c r="A188" s="50" t="str">
        <x:v>INS-030</x:v>
      </x:c>
      <x:c r="B188" s="50" t="str">
        <x:v>Industry Statistics</x:v>
      </x:c>
      <x:c r="C188" s="50" t="str">
        <x:v>Tổng cộng không nhỏ hơn Trong kỳ</x:v>
      </x:c>
      <x:c r="D188" s="50" t="str">
        <x:v>Có tài khoản hợp lệ; đã đăng nhập CMS; nhóm Vua Thợ được phép truy cập. Đang ở trang Dashboard.</x:v>
      </x:c>
      <x:c r="E188" s="50" t="str">
        <x:v>1. Đọc Trong kỳ và Tổng cộng từng item.
2. Parse số.
3. So sánh.</x:v>
      </x:c>
      <x:c r="F188" s="50" t="str">
        <x:v>0 ≤ Trong kỳ ≤ Tổng cộng.</x:v>
      </x:c>
      <x:c r="G188" s="50" t="str">
        <x:v>High</x:v>
      </x:c>
      <x:c r="H188" s="50" t="str">
        <x:v>P1</x:v>
      </x:c>
      <x:c r="I188" s="50" t="str">
        <x:v>Data Integrity</x:v>
      </x:c>
      <x:c r="J188" s="50" t="str">
        <x:v>Automate</x:v>
      </x:c>
      <x:c r="K188" s="50" t="str"/>
      <x:c r="L188" s="50" t="str">
        <x:v>Not Run</x:v>
      </x:c>
      <x:c r="M188" s="50" t="str"/>
      <x:c r="N188" s="50" t="str"/>
    </x:row>
    <x:row r="189" ht="72" customHeight="1">
      <x:c r="A189" s="50" t="str">
        <x:v>INS-031</x:v>
      </x:c>
      <x:c r="B189" s="50" t="str">
        <x:v>Industry Statistics</x:v>
      </x:c>
      <x:c r="C189" s="50" t="str">
        <x:v>Tính đúng thị phần từng ngành nghề</x:v>
      </x:c>
      <x:c r="D189" s="50" t="str">
        <x:v>Có tài khoản hợp lệ; đã đăng nhập CMS; nhóm Vua Thợ được phép truy cập. Đang ở trang Dashboard.</x:v>
      </x:c>
      <x:c r="E189" s="50" t="str">
        <x:v>1. Đọc Trong kỳ, tổng ĐK Thợ chính và % thị phần.
2. Tính Trong kỳ/Tổng*100.</x:v>
      </x:c>
      <x:c r="F189" s="50" t="str">
        <x:v>Phần trăm khớp trong sai số làm tròn 0,01; không NaN/Infinity.</x:v>
      </x:c>
      <x:c r="G189" s="50" t="str">
        <x:v>High</x:v>
      </x:c>
      <x:c r="H189" s="50" t="str">
        <x:v>P1</x:v>
      </x:c>
      <x:c r="I189" s="50" t="str">
        <x:v>Data Integrity</x:v>
      </x:c>
      <x:c r="J189" s="50" t="str">
        <x:v>Automate</x:v>
      </x:c>
      <x:c r="K189" s="50" t="str"/>
      <x:c r="L189" s="50" t="str">
        <x:v>Not Run</x:v>
      </x:c>
      <x:c r="M189" s="50" t="str"/>
      <x:c r="N189" s="50" t="str"/>
    </x:row>
    <x:row r="190" ht="72" customHeight="1">
      <x:c r="A190" s="50" t="str">
        <x:v>INS-032</x:v>
      </x:c>
      <x:c r="B190" s="50" t="str">
        <x:v>Industry Statistics</x:v>
      </x:c>
      <x:c r="C190" s="50" t="str">
        <x:v>Tổng thị phần xấp xỉ 100% khi danh sách đầy đủ</x:v>
      </x:c>
      <x:c r="D190" s="50" t="str">
        <x:v>Có tài khoản hợp lệ; đã đăng nhập CMS; nhóm Vua Thợ được phép truy cập. Đang ở trang Dashboard.</x:v>
      </x:c>
      <x:c r="E190" s="50" t="str">
        <x:v>1. Cộng % thị phần tất cả item hiển thị.
2. Xác định danh sách có đầy đủ hay chỉ top.</x:v>
      </x:c>
      <x:c r="F190" s="50" t="str">
        <x:v>Nếu danh sách đầy đủ, tổng xấp xỉ 100% trong sai số làm tròn; nếu chỉ top, ghi nhận phần còn lại.</x:v>
      </x:c>
      <x:c r="G190" s="50" t="str">
        <x:v>High</x:v>
      </x:c>
      <x:c r="H190" s="50" t="str">
        <x:v>P1</x:v>
      </x:c>
      <x:c r="I190" s="50" t="str">
        <x:v>Data Integrity</x:v>
      </x:c>
      <x:c r="J190" s="50" t="str">
        <x:v>Automate</x:v>
      </x:c>
      <x:c r="K190" s="50" t="str"/>
      <x:c r="L190" s="50" t="str">
        <x:v>Not Run</x:v>
      </x:c>
      <x:c r="M190" s="50" t="str"/>
      <x:c r="N190" s="50" t="str"/>
    </x:row>
    <x:row r="191" ht="72" customHeight="1">
      <x:c r="A191" s="50" t="str">
        <x:v>INS-033</x:v>
      </x:c>
      <x:c r="B191" s="50" t="str">
        <x:v>Industry Statistics</x:v>
      </x:c>
      <x:c r="C191" s="50" t="str">
        <x:v>Tổng Trong kỳ khớp số ĐK Thợ chính khi danh sách đầy đủ</x:v>
      </x:c>
      <x:c r="D191" s="50" t="str">
        <x:v>Có tài khoản hợp lệ; đã đăng nhập CMS; nhóm Vua Thợ được phép truy cập. Đang ở trang Dashboard.</x:v>
      </x:c>
      <x:c r="E191" s="50" t="str">
        <x:v>1. Cộng Trong kỳ của các item.
2. So sánh card Thợ chính.</x:v>
      </x:c>
      <x:c r="F191" s="50" t="str">
        <x:v>Nếu danh sách đầy đủ, tổng bằng card; nếu chỉ top, tổng không vượt card.</x:v>
      </x:c>
      <x:c r="G191" s="50" t="str">
        <x:v>High</x:v>
      </x:c>
      <x:c r="H191" s="50" t="str">
        <x:v>P1</x:v>
      </x:c>
      <x:c r="I191" s="50" t="str">
        <x:v>Data Integrity</x:v>
      </x:c>
      <x:c r="J191" s="50" t="str">
        <x:v>Automate</x:v>
      </x:c>
      <x:c r="K191" s="50" t="str"/>
      <x:c r="L191" s="50" t="str">
        <x:v>Not Run</x:v>
      </x:c>
      <x:c r="M191" s="50" t="str"/>
      <x:c r="N191" s="50" t="str"/>
    </x:row>
    <x:row r="192" ht="72" customHeight="1">
      <x:c r="A192" s="50" t="str">
        <x:v>INS-034</x:v>
      </x:c>
      <x:c r="B192" s="50" t="str">
        <x:v>Industry Statistics</x:v>
      </x:c>
      <x:c r="C192" s="50" t="str">
        <x:v>Không có ngành nghề trùng tên</x:v>
      </x:c>
      <x:c r="D192" s="50" t="str">
        <x:v>Có tài khoản hợp lệ; đã đăng nhập CMS; nhóm Vua Thợ được phép truy cập. Đang ở trang Dashboard.</x:v>
      </x:c>
      <x:c r="E192" s="50" t="str">
        <x:v>1. Chuẩn hóa tên từng item.
2. Kiểm tra duplicate.</x:v>
      </x:c>
      <x:c r="F192" s="50" t="str">
        <x:v>Không có item trùng tên trong cùng ranking.</x:v>
      </x:c>
      <x:c r="G192" s="50" t="str">
        <x:v>Medium</x:v>
      </x:c>
      <x:c r="H192" s="50" t="str">
        <x:v>P2</x:v>
      </x:c>
      <x:c r="I192" s="50" t="str">
        <x:v>Data Integrity</x:v>
      </x:c>
      <x:c r="J192" s="50" t="str">
        <x:v>Automate</x:v>
      </x:c>
      <x:c r="K192" s="50" t="str"/>
      <x:c r="L192" s="50" t="str">
        <x:v>Not Run</x:v>
      </x:c>
      <x:c r="M192" s="50" t="str"/>
      <x:c r="N192" s="50" t="str"/>
    </x:row>
    <x:row r="193" ht="72" customHeight="1">
      <x:c r="A193" s="50" t="str">
        <x:v>INS-035</x:v>
      </x:c>
      <x:c r="B193" s="50" t="str">
        <x:v>Industry Statistics</x:v>
      </x:c>
      <x:c r="C193" s="50" t="str">
        <x:v>Xử lý đồng hạng</x:v>
      </x:c>
      <x:c r="D193" s="50" t="str">
        <x:v>Thực hiện trên môi trường test/staging với dữ liệu an toàn.</x:v>
      </x:c>
      <x:c r="E193" s="50" t="str">
        <x:v>1. Mock nhiều ngành có cùng Trong kỳ.
2. Mở ranking.</x:v>
      </x:c>
      <x:c r="F193" s="50" t="str">
        <x:v>Thứ tự/tie-break đúng quy tắc nghiệp vụ và ổn định.</x:v>
      </x:c>
      <x:c r="G193" s="50" t="str">
        <x:v>Medium</x:v>
      </x:c>
      <x:c r="H193" s="50" t="str">
        <x:v>P2</x:v>
      </x:c>
      <x:c r="I193" s="50" t="str">
        <x:v>Boundary</x:v>
      </x:c>
      <x:c r="J193" s="50" t="str">
        <x:v>Need business requirement</x:v>
      </x:c>
      <x:c r="K193" s="50" t="str"/>
      <x:c r="L193" s="50" t="str">
        <x:v>Not Run</x:v>
      </x:c>
      <x:c r="M193" s="50" t="str"/>
      <x:c r="N193" s="50" t="str"/>
    </x:row>
    <x:row r="194" ht="72" customHeight="1">
      <x:c r="A194" s="50" t="str">
        <x:v>INS-036</x:v>
      </x:c>
      <x:c r="B194" s="50" t="str">
        <x:v>Industry Statistics</x:v>
      </x:c>
      <x:c r="C194" s="50" t="str">
        <x:v>Ranking không có dữ liệu</x:v>
      </x:c>
      <x:c r="D194" s="50" t="str">
        <x:v>Thực hiện trên môi trường test/staging với dữ liệu an toàn.</x:v>
      </x:c>
      <x:c r="E194" s="50" t="str">
        <x:v>1. Mock kỳ không có đăng ký.
2. Mở section.</x:v>
      </x:c>
      <x:c r="F194" s="50" t="str">
        <x:v>Hiển thị empty state; không render rank rỗng hoặc chia cho 0.</x:v>
      </x:c>
      <x:c r="G194" s="50" t="str">
        <x:v>Medium</x:v>
      </x:c>
      <x:c r="H194" s="50" t="str">
        <x:v>P2</x:v>
      </x:c>
      <x:c r="I194" s="50" t="str">
        <x:v>Boundary</x:v>
      </x:c>
      <x:c r="J194" s="50" t="str">
        <x:v>Need API/Database</x:v>
      </x:c>
      <x:c r="K194" s="50" t="str"/>
      <x:c r="L194" s="50" t="str">
        <x:v>Not Run</x:v>
      </x:c>
      <x:c r="M194" s="50" t="str"/>
      <x:c r="N194" s="50" t="str"/>
    </x:row>
    <x:row r="195" ht="72" customHeight="1">
      <x:c r="A195" s="50" t="str">
        <x:v>INS-037</x:v>
      </x:c>
      <x:c r="B195" s="50" t="str">
        <x:v>Industry Statistics</x:v>
      </x:c>
      <x:c r="C195" s="50" t="str">
        <x:v>Ranking có tên rất dài</x:v>
      </x:c>
      <x:c r="D195" s="50" t="str">
        <x:v>Thực hiện trên môi trường test/staging với dữ liệu an toàn.</x:v>
      </x:c>
      <x:c r="E195" s="50" t="str">
        <x:v>1. Mock tên ngành nghề dài.
2. Mở ở desktop/tablet.</x:v>
      </x:c>
      <x:c r="F195" s="50" t="str">
        <x:v>Text wrap/truncate hợp lý; số liệu vẫn đọc được.</x:v>
      </x:c>
      <x:c r="G195" s="50" t="str">
        <x:v>Low</x:v>
      </x:c>
      <x:c r="H195" s="50" t="str">
        <x:v>P3</x:v>
      </x:c>
      <x:c r="I195" s="50" t="str">
        <x:v>Boundary</x:v>
      </x:c>
      <x:c r="J195" s="50" t="str">
        <x:v>Need API/Database</x:v>
      </x:c>
      <x:c r="K195" s="50" t="str"/>
      <x:c r="L195" s="50" t="str">
        <x:v>Not Run</x:v>
      </x:c>
      <x:c r="M195" s="50" t="str"/>
      <x:c r="N195" s="50" t="str"/>
    </x:row>
    <x:row r="196" ht="72" customHeight="1">
      <x:c r="A196" s="50" t="str">
        <x:v>INS-038</x:v>
      </x:c>
      <x:c r="B196" s="50" t="str">
        <x:v>Industry Statistics</x:v>
      </x:c>
      <x:c r="C196" s="50" t="str">
        <x:v>Ranking cập nhật khi đổi kỳ</x:v>
      </x:c>
      <x:c r="D196" s="50" t="str">
        <x:v>Có tài khoản hợp lệ; đã đăng nhập CMS; nhóm Vua Thợ được phép truy cập. Đang ở trang Dashboard.</x:v>
      </x:c>
      <x:c r="E196" s="50" t="str">
        <x:v>1. Ghi nhận danh sách hiện tại.
2. Đổi kỳ.
3. Chờ cập nhật.</x:v>
      </x:c>
      <x:c r="F196" s="50" t="str">
        <x:v>Rank, số và thị phần cập nhật đồng bộ; không giữ item cũ.</x:v>
      </x:c>
      <x:c r="G196" s="50" t="str">
        <x:v>High</x:v>
      </x:c>
      <x:c r="H196" s="50" t="str">
        <x:v>P1</x:v>
      </x:c>
      <x:c r="I196" s="50" t="str">
        <x:v>Data Integrity</x:v>
      </x:c>
      <x:c r="J196" s="50" t="str">
        <x:v>Automate</x:v>
      </x:c>
      <x:c r="K196" s="50" t="str"/>
      <x:c r="L196" s="50" t="str">
        <x:v>Not Run</x:v>
      </x:c>
      <x:c r="M196" s="50" t="str"/>
      <x:c r="N196" s="50" t="str"/>
    </x:row>
    <x:row r="197" ht="72" customHeight="1">
      <x:c r="A197" s="50" t="str">
        <x:v>INS-039</x:v>
      </x:c>
      <x:c r="B197" s="50" t="str">
        <x:v>Industry Statistics</x:v>
      </x:c>
      <x:c r="C197" s="50" t="str">
        <x:v>Ranking với tổng đăng ký rất lớn</x:v>
      </x:c>
      <x:c r="D197" s="50" t="str">
        <x:v>Thực hiện trên môi trường test/staging với dữ liệu an toàn.</x:v>
      </x:c>
      <x:c r="E197" s="50" t="str">
        <x:v>1. Mock số lớn và nhiều item.
2. Mở section.</x:v>
      </x:c>
      <x:c r="F197" s="50" t="str">
        <x:v>Hiển thị/scroll tốt; phép tính thị phần không overflow.</x:v>
      </x:c>
      <x:c r="G197" s="50" t="str">
        <x:v>Low</x:v>
      </x:c>
      <x:c r="H197" s="50" t="str">
        <x:v>P3</x:v>
      </x:c>
      <x:c r="I197" s="50" t="str">
        <x:v>Boundary</x:v>
      </x:c>
      <x:c r="J197" s="50" t="str">
        <x:v>Need API/Database</x:v>
      </x:c>
      <x:c r="K197" s="50" t="str"/>
      <x:c r="L197" s="50" t="str">
        <x:v>Not Run</x:v>
      </x:c>
      <x:c r="M197" s="50" t="str"/>
      <x:c r="N197" s="50" t="str"/>
    </x:row>
    <x:row r="198" ht="72" customHeight="1">
      <x:c r="A198" s="50" t="str">
        <x:v>INS-040</x:v>
      </x:c>
      <x:c r="B198" s="50" t="str">
        <x:v>Industry Statistics</x:v>
      </x:c>
      <x:c r="C198" s="50" t="str">
        <x:v>Switch Biểu đồ tắt mặc định</x:v>
      </x:c>
      <x:c r="D198" s="50" t="str">
        <x:v>Có tài khoản hợp lệ; đã đăng nhập CMS; nhóm Vua Thợ được phép truy cập. Đang ở trang Dashboard.</x:v>
      </x:c>
      <x:c r="E198" s="50" t="str">
        <x:v>1. Tìm switch gần text “Biểu đồ”.
2. Đọc isSelected và thông báo.</x:v>
      </x:c>
      <x:c r="F198" s="50" t="str">
        <x:v>Switch tắt; thông báo “Biểu đồ đã được ẩn để tối ưu hiệu năng” hiển thị.</x:v>
      </x:c>
      <x:c r="G198" s="50" t="str">
        <x:v>Medium</x:v>
      </x:c>
      <x:c r="H198" s="50" t="str">
        <x:v>P2</x:v>
      </x:c>
      <x:c r="I198" s="50" t="str">
        <x:v>UI</x:v>
      </x:c>
      <x:c r="J198" s="50" t="str">
        <x:v>Automate</x:v>
      </x:c>
      <x:c r="K198" s="50" t="str"/>
      <x:c r="L198" s="50" t="str">
        <x:v>Not Run</x:v>
      </x:c>
      <x:c r="M198" s="50" t="str"/>
      <x:c r="N198" s="50" t="str"/>
    </x:row>
    <x:row r="199" ht="72" customHeight="1">
      <x:c r="A199" s="50" t="str">
        <x:v>INS-041</x:v>
      </x:c>
      <x:c r="B199" s="50" t="str">
        <x:v>Industry Statistics</x:v>
      </x:c>
      <x:c r="C199" s="50" t="str">
        <x:v>Bật switch hiển thị biểu đồ ngành nghề</x:v>
      </x:c>
      <x:c r="D199" s="50" t="str">
        <x:v>Có tài khoản hợp lệ; đã đăng nhập CMS; nhóm Vua Thợ được phép truy cập. Đang ở trang Dashboard.</x:v>
      </x:c>
      <x:c r="E199" s="50" t="str">
        <x:v>1. Bật switch Biểu đồ.
2. Chờ chart render.</x:v>
      </x:c>
      <x:c r="F199" s="50" t="str">
        <x:v>Biểu đồ xuất hiện; thông báo ẩn; SVG có kích thước &gt; 0.</x:v>
      </x:c>
      <x:c r="G199" s="50" t="str">
        <x:v>High</x:v>
      </x:c>
      <x:c r="H199" s="50" t="str">
        <x:v>P1</x:v>
      </x:c>
      <x:c r="I199" s="50" t="str">
        <x:v>Functional</x:v>
      </x:c>
      <x:c r="J199" s="50" t="str">
        <x:v>Need more DOM</x:v>
      </x:c>
      <x:c r="K199" s="50" t="str"/>
      <x:c r="L199" s="50" t="str">
        <x:v>Not Run</x:v>
      </x:c>
      <x:c r="M199" s="50" t="str"/>
      <x:c r="N199" s="50" t="str"/>
    </x:row>
    <x:row r="200" ht="72" customHeight="1">
      <x:c r="A200" s="50" t="str">
        <x:v>INS-042</x:v>
      </x:c>
      <x:c r="B200" s="50" t="str">
        <x:v>Industry Statistics</x:v>
      </x:c>
      <x:c r="C200" s="50" t="str">
        <x:v>Tắt lại biểu đồ ngành nghề</x:v>
      </x:c>
      <x:c r="D200" s="50" t="str">
        <x:v>Có tài khoản hợp lệ; đã đăng nhập CMS; nhóm Vua Thợ được phép truy cập. Đang ở trang Dashboard.</x:v>
      </x:c>
      <x:c r="E200" s="50" t="str">
        <x:v>1. Bật rồi tắt switch.
2. Kiểm tra DOM và thông báo.</x:v>
      </x:c>
      <x:c r="F200" s="50" t="str">
        <x:v>Biểu đồ bị ẩn/remove; thông báo tối ưu hiệu năng xuất hiện lại.</x:v>
      </x:c>
      <x:c r="G200" s="50" t="str">
        <x:v>Medium</x:v>
      </x:c>
      <x:c r="H200" s="50" t="str">
        <x:v>P2</x:v>
      </x:c>
      <x:c r="I200" s="50" t="str">
        <x:v>Functional</x:v>
      </x:c>
      <x:c r="J200" s="50" t="str">
        <x:v>Need more DOM</x:v>
      </x:c>
      <x:c r="K200" s="50" t="str"/>
      <x:c r="L200" s="50" t="str">
        <x:v>Not Run</x:v>
      </x:c>
      <x:c r="M200" s="50" t="str"/>
      <x:c r="N200" s="50" t="str"/>
    </x:row>
    <x:row r="201" ht="72" customHeight="1">
      <x:c r="A201" s="50" t="str">
        <x:v>INS-043</x:v>
      </x:c>
      <x:c r="B201" s="50" t="str">
        <x:v>Industry Statistics</x:v>
      </x:c>
      <x:c r="C201" s="50" t="str">
        <x:v>Bật/tắt nhiều lần không tạo biểu đồ trùng</x:v>
      </x:c>
      <x:c r="D201" s="50" t="str">
        <x:v>Có tài khoản hợp lệ; đã đăng nhập CMS; nhóm Vua Thợ được phép truy cập. Đang ở trang Dashboard.</x:v>
      </x:c>
      <x:c r="E201" s="50" t="str">
        <x:v>1. Toggle switch 5 lần.
2. Đếm chart visible.</x:v>
      </x:c>
      <x:c r="F201" s="50" t="str">
        <x:v>Tối đa một biểu đồ visible; không rò rỉ component.</x:v>
      </x:c>
      <x:c r="G201" s="50" t="str">
        <x:v>High</x:v>
      </x:c>
      <x:c r="H201" s="50" t="str">
        <x:v>P1</x:v>
      </x:c>
      <x:c r="I201" s="50" t="str">
        <x:v>Recovery</x:v>
      </x:c>
      <x:c r="J201" s="50" t="str">
        <x:v>Need more DOM</x:v>
      </x:c>
      <x:c r="K201" s="50" t="str"/>
      <x:c r="L201" s="50" t="str">
        <x:v>Not Run</x:v>
      </x:c>
      <x:c r="M201" s="50" t="str"/>
      <x:c r="N201" s="50" t="str"/>
    </x:row>
    <x:row r="202" ht="72" customHeight="1">
      <x:c r="A202" s="50" t="str">
        <x:v>INS-044</x:v>
      </x:c>
      <x:c r="B202" s="50" t="str">
        <x:v>Industry Statistics</x:v>
      </x:c>
      <x:c r="C202" s="50" t="str">
        <x:v>Biểu đồ ngành nghề cập nhật theo kỳ</x:v>
      </x:c>
      <x:c r="D202" s="50" t="str">
        <x:v>Có tài khoản hợp lệ; đã đăng nhập CMS; nhóm Vua Thợ được phép truy cập. Đang ở trang Dashboard.</x:v>
      </x:c>
      <x:c r="E202" s="50" t="str">
        <x:v>1. Bật biểu đồ.
2. Đổi kỳ.
3. Kiểm tra trục/dữ liệu.</x:v>
      </x:c>
      <x:c r="F202" s="50" t="str">
        <x:v>Chart cập nhật đúng kỳ và không giữ dữ liệu cũ.</x:v>
      </x:c>
      <x:c r="G202" s="50" t="str">
        <x:v>High</x:v>
      </x:c>
      <x:c r="H202" s="50" t="str">
        <x:v>P1</x:v>
      </x:c>
      <x:c r="I202" s="50" t="str">
        <x:v>Data Integrity</x:v>
      </x:c>
      <x:c r="J202" s="50" t="str">
        <x:v>Need more DOM</x:v>
      </x:c>
      <x:c r="K202" s="50" t="str"/>
      <x:c r="L202" s="50" t="str">
        <x:v>Not Run</x:v>
      </x:c>
      <x:c r="M202" s="50" t="str"/>
      <x:c r="N202" s="50" t="str"/>
    </x:row>
    <x:row r="203" ht="72" customHeight="1">
      <x:c r="A203" s="50" t="str">
        <x:v>INS-045</x:v>
      </x:c>
      <x:c r="B203" s="50" t="str">
        <x:v>Industry Statistics</x:v>
      </x:c>
      <x:c r="C203" s="50" t="str">
        <x:v>Biểu đồ ngành nghề cập nhật theo custom date</x:v>
      </x:c>
      <x:c r="D203" s="50" t="str">
        <x:v>Có tài khoản hợp lệ; đã đăng nhập CMS; nhóm Vua Thợ được phép truy cập. Đang ở trang Dashboard.</x:v>
      </x:c>
      <x:c r="E203" s="50" t="str">
        <x:v>1. Bật chart và custom date.
2. Áp dụng khoảng.
3. Kiểm tra chart.</x:v>
      </x:c>
      <x:c r="F203" s="50" t="str">
        <x:v>Chart hiển thị đúng khoảng custom.</x:v>
      </x:c>
      <x:c r="G203" s="50" t="str">
        <x:v>High</x:v>
      </x:c>
      <x:c r="H203" s="50" t="str">
        <x:v>P1</x:v>
      </x:c>
      <x:c r="I203" s="50" t="str">
        <x:v>Data Integrity</x:v>
      </x:c>
      <x:c r="J203" s="50" t="str">
        <x:v>Need more DOM</x:v>
      </x:c>
      <x:c r="K203" s="50" t="str"/>
      <x:c r="L203" s="50" t="str">
        <x:v>Not Run</x:v>
      </x:c>
      <x:c r="M203" s="50" t="str"/>
      <x:c r="N203" s="50" t="str"/>
    </x:row>
    <x:row r="204" ht="72" customHeight="1">
      <x:c r="A204" s="50" t="str">
        <x:v>INS-046</x:v>
      </x:c>
      <x:c r="B204" s="50" t="str">
        <x:v>Industry Statistics</x:v>
      </x:c>
      <x:c r="C204" s="50" t="str">
        <x:v>Switch Biểu đồ độc lập với hai switch Tùy chỉnh</x:v>
      </x:c>
      <x:c r="D204" s="50" t="str">
        <x:v>Có tài khoản hợp lệ; đã đăng nhập CMS; nhóm Vua Thợ được phép truy cập. Đang ở trang Dashboard.</x:v>
      </x:c>
      <x:c r="E204" s="50" t="str">
        <x:v>1. Bật/tắt switch Biểu đồ.
2. Kiểm tra switch custom của người dùng và ngành nghề.</x:v>
      </x:c>
      <x:c r="F204" s="50" t="str">
        <x:v>Hai switch custom không thay đổi.</x:v>
      </x:c>
      <x:c r="G204" s="50" t="str">
        <x:v>High</x:v>
      </x:c>
      <x:c r="H204" s="50" t="str">
        <x:v>P1</x:v>
      </x:c>
      <x:c r="I204" s="50" t="str">
        <x:v>Data Integrity</x:v>
      </x:c>
      <x:c r="J204" s="50" t="str">
        <x:v>Automate</x:v>
      </x:c>
      <x:c r="K204" s="50" t="str"/>
      <x:c r="L204" s="50" t="str">
        <x:v>Not Run</x:v>
      </x:c>
      <x:c r="M204" s="50" t="str"/>
      <x:c r="N204" s="50" t="str"/>
    </x:row>
    <x:row r="205" ht="72" customHeight="1">
      <x:c r="A205" s="50" t="str">
        <x:v>INS-047</x:v>
      </x:c>
      <x:c r="B205" s="50" t="str">
        <x:v>Industry Statistics</x:v>
      </x:c>
      <x:c r="C205" s="50" t="str">
        <x:v>Tooltip và trục của biểu đồ ngành nghề</x:v>
      </x:c>
      <x:c r="D205" s="50" t="str">
        <x:v>Có tài khoản hợp lệ; đã đăng nhập CMS; nhóm Vua Thợ được phép truy cập. Đang ở trang Dashboard.</x:v>
      </x:c>
      <x:c r="E205" s="50" t="str">
        <x:v>1. Bật biểu đồ.
2. Kiểm tra trục ngày/số.
3. Hover điểm dữ liệu.</x:v>
      </x:c>
      <x:c r="F205" s="50" t="str">
        <x:v>Trục hợp lệ; tooltip đúng ngành/ngày/giá trị.</x:v>
      </x:c>
      <x:c r="G205" s="50" t="str">
        <x:v>Medium</x:v>
      </x:c>
      <x:c r="H205" s="50" t="str">
        <x:v>P2</x:v>
      </x:c>
      <x:c r="I205" s="50" t="str">
        <x:v>Functional</x:v>
      </x:c>
      <x:c r="J205" s="50" t="str">
        <x:v>Need more DOM</x:v>
      </x:c>
      <x:c r="K205" s="50" t="str"/>
      <x:c r="L205" s="50" t="str">
        <x:v>Not Run</x:v>
      </x:c>
      <x:c r="M205" s="50" t="str"/>
      <x:c r="N205" s="50" t="str"/>
    </x:row>
    <x:row r="206" ht="72" customHeight="1">
      <x:c r="A206" s="50" t="str">
        <x:v>INS-048</x:v>
      </x:c>
      <x:c r="B206" s="50" t="str">
        <x:v>Industry Statistics</x:v>
      </x:c>
      <x:c r="C206" s="50" t="str">
        <x:v>Biểu đồ ngành nghề không có dữ liệu</x:v>
      </x:c>
      <x:c r="D206" s="50" t="str">
        <x:v>Thực hiện trên môi trường test/staging với dữ liệu an toàn.</x:v>
      </x:c>
      <x:c r="E206" s="50" t="str">
        <x:v>1. Mock empty data.
2. Bật chart.</x:v>
      </x:c>
      <x:c r="F206" s="50" t="str">
        <x:v>Hiển thị empty state; không crash/NaN.</x:v>
      </x:c>
      <x:c r="G206" s="50" t="str">
        <x:v>Medium</x:v>
      </x:c>
      <x:c r="H206" s="50" t="str">
        <x:v>P2</x:v>
      </x:c>
      <x:c r="I206" s="50" t="str">
        <x:v>Boundary</x:v>
      </x:c>
      <x:c r="J206" s="50" t="str">
        <x:v>Need API/Database</x:v>
      </x:c>
      <x:c r="K206" s="50" t="str"/>
      <x:c r="L206" s="50" t="str">
        <x:v>Not Run</x:v>
      </x:c>
      <x:c r="M206" s="50" t="str"/>
      <x:c r="N206" s="50" t="str"/>
    </x:row>
    <x:row r="207" ht="72" customHeight="1">
      <x:c r="A207" s="50" t="str">
        <x:v>CAR-001</x:v>
      </x:c>
      <x:c r="B207" s="50" t="str">
        <x:v>Common UI, Accessibility &amp; Recovery</x:v>
      </x:c>
      <x:c r="C207" s="50" t="str">
        <x:v>Các control chính có accessible name</x:v>
      </x:c>
      <x:c r="D207" s="50" t="str">
        <x:v>Có tài khoản hợp lệ; đã đăng nhập CMS; nhóm Vua Thợ được phép truy cập. Đang ở trang Dashboard.</x:v>
      </x:c>
      <x:c r="E207" s="50" t="str">
        <x:v>1. Kiểm tra button/link/input chính bằng accessibility tree.
2. Xác định accessible name.</x:v>
      </x:c>
      <x:c r="F207" s="50" t="str">
        <x:v>Control có tên đọc được; switch không chỉ dựa vào ID động.</x:v>
      </x:c>
      <x:c r="G207" s="50" t="str">
        <x:v>Medium</x:v>
      </x:c>
      <x:c r="H207" s="50" t="str">
        <x:v>P2</x:v>
      </x:c>
      <x:c r="I207" s="50" t="str">
        <x:v>Accessibility</x:v>
      </x:c>
      <x:c r="J207" s="50" t="str">
        <x:v>Automate</x:v>
      </x:c>
      <x:c r="K207" s="50" t="str"/>
      <x:c r="L207" s="50" t="str">
        <x:v>Not Run</x:v>
      </x:c>
      <x:c r="M207" s="50" t="str"/>
      <x:c r="N207" s="50" t="str"/>
    </x:row>
    <x:row r="208" ht="72" customHeight="1">
      <x:c r="A208" s="50" t="str">
        <x:v>CAR-002</x:v>
      </x:c>
      <x:c r="B208" s="50" t="str">
        <x:v>Common UI, Accessibility &amp; Recovery</x:v>
      </x:c>
      <x:c r="C208" s="50" t="str">
        <x:v>Thứ tự Tab hợp lý</x:v>
      </x:c>
      <x:c r="D208" s="50" t="str">
        <x:v>Có tài khoản hợp lệ; đã đăng nhập CMS; nhóm Vua Thợ được phép truy cập. Đang ở trang Dashboard.</x:v>
      </x:c>
      <x:c r="E208" s="50" t="str">
        <x:v>1. Dùng Tab từ đầu trang đến cuối.
2. Ghi nhận thứ tự focus.</x:v>
      </x:c>
      <x:c r="F208" s="50" t="str">
        <x:v>Focus đi theo thứ tự trực quan; không nhảy vào phần tử ẩn/trùng.</x:v>
      </x:c>
      <x:c r="G208" s="50" t="str">
        <x:v>Medium</x:v>
      </x:c>
      <x:c r="H208" s="50" t="str">
        <x:v>P2</x:v>
      </x:c>
      <x:c r="I208" s="50" t="str">
        <x:v>Accessibility</x:v>
      </x:c>
      <x:c r="J208" s="50" t="str">
        <x:v>Automate</x:v>
      </x:c>
      <x:c r="K208" s="50" t="str"/>
      <x:c r="L208" s="50" t="str">
        <x:v>Not Run</x:v>
      </x:c>
      <x:c r="M208" s="50" t="str"/>
      <x:c r="N208" s="50" t="str"/>
    </x:row>
    <x:row r="209" ht="72" customHeight="1">
      <x:c r="A209" s="50" t="str">
        <x:v>CAR-003</x:v>
      </x:c>
      <x:c r="B209" s="50" t="str">
        <x:v>Common UI, Accessibility &amp; Recovery</x:v>
      </x:c>
      <x:c r="C209" s="50" t="str">
        <x:v>Focus indicator hiển thị</x:v>
      </x:c>
      <x:c r="D209" s="50" t="str">
        <x:v>Có tài khoản hợp lệ; đã đăng nhập CMS; nhóm Vua Thợ được phép truy cập. Đang ở trang Dashboard.</x:v>
      </x:c>
      <x:c r="E209" s="50" t="str">
        <x:v>1. Tab qua menu, card, period, switch, export.
2. Quan sát focus ring.</x:v>
      </x:c>
      <x:c r="F209" s="50" t="str">
        <x:v>Mọi control tương tác có focus rõ.</x:v>
      </x:c>
      <x:c r="G209" s="50" t="str">
        <x:v>Medium</x:v>
      </x:c>
      <x:c r="H209" s="50" t="str">
        <x:v>P2</x:v>
      </x:c>
      <x:c r="I209" s="50" t="str">
        <x:v>Accessibility</x:v>
      </x:c>
      <x:c r="J209" s="50" t="str">
        <x:v>Automate</x:v>
      </x:c>
      <x:c r="K209" s="50" t="str"/>
      <x:c r="L209" s="50" t="str">
        <x:v>Not Run</x:v>
      </x:c>
      <x:c r="M209" s="50" t="str"/>
      <x:c r="N209" s="50" t="str"/>
    </x:row>
    <x:row r="210" ht="72" customHeight="1">
      <x:c r="A210" s="50" t="str">
        <x:v>CAR-004</x:v>
      </x:c>
      <x:c r="B210" s="50" t="str">
        <x:v>Common UI, Accessibility &amp; Recovery</x:v>
      </x:c>
      <x:c r="C210" s="50" t="str">
        <x:v>Không dùng ID động làm locator</x:v>
      </x:c>
      <x:c r="D210" s="50" t="str">
        <x:v>Có tài khoản hợp lệ; đã đăng nhập CMS; nhóm Vua Thợ được phép truy cập. Đang ở trang Dashboard.</x:v>
      </x:c>
      <x:c r="E210" s="50" t="str">
        <x:v>1. Rà locator automation.
2. Tìm fdprocessedid, :r*, react-aria, recharts ID.</x:v>
      </x:c>
      <x:c r="F210" s="50" t="str">
        <x:v>Không có locator phụ thuộc ID động; ưu tiên href/aria/title/text/data-testid.</x:v>
      </x:c>
      <x:c r="G210" s="50" t="str">
        <x:v>High</x:v>
      </x:c>
      <x:c r="H210" s="50" t="str">
        <x:v>P1</x:v>
      </x:c>
      <x:c r="I210" s="50" t="str">
        <x:v>Validation</x:v>
      </x:c>
      <x:c r="J210" s="50" t="str">
        <x:v>Automate</x:v>
      </x:c>
      <x:c r="K210" s="50" t="str"/>
      <x:c r="L210" s="50" t="str">
        <x:v>Not Run</x:v>
      </x:c>
      <x:c r="M210" s="50" t="str"/>
      <x:c r="N210" s="50" t="str"/>
    </x:row>
    <x:row r="211" ht="72" customHeight="1">
      <x:c r="A211" s="50" t="str">
        <x:v>CAR-005</x:v>
      </x:c>
      <x:c r="B211" s="50" t="str">
        <x:v>Common UI, Accessibility &amp; Recovery</x:v>
      </x:c>
      <x:c r="C211" s="50" t="str">
        <x:v>Không dùng full XPath hoặc class Tailwind dài</x:v>
      </x:c>
      <x:c r="D211" s="50" t="str">
        <x:v>Có tài khoản hợp lệ; đã đăng nhập CMS; nhóm Vua Thợ được phép truy cập. Đang ở trang Dashboard.</x:v>
      </x:c>
      <x:c r="E211" s="50" t="str">
        <x:v>1. Rà source automation.
2. Kiểm tra locator.</x:v>
      </x:c>
      <x:c r="F211" s="50" t="str">
        <x:v>Locator ổn định, scope theo component; không full XPath/class dài.</x:v>
      </x:c>
      <x:c r="G211" s="50" t="str">
        <x:v>High</x:v>
      </x:c>
      <x:c r="H211" s="50" t="str">
        <x:v>P1</x:v>
      </x:c>
      <x:c r="I211" s="50" t="str">
        <x:v>Validation</x:v>
      </x:c>
      <x:c r="J211" s="50" t="str">
        <x:v>Automate</x:v>
      </x:c>
      <x:c r="K211" s="50" t="str"/>
      <x:c r="L211" s="50" t="str">
        <x:v>Not Run</x:v>
      </x:c>
      <x:c r="M211" s="50" t="str"/>
      <x:c r="N211" s="50" t="str"/>
    </x:row>
    <x:row r="212" ht="72" customHeight="1">
      <x:c r="A212" s="50" t="str">
        <x:v>CAR-006</x:v>
      </x:c>
      <x:c r="B212" s="50" t="str">
        <x:v>Common UI, Accessibility &amp; Recovery</x:v>
      </x:c>
      <x:c r="C212" s="50" t="str">
        <x:v>Xử lý StaleElement khi component re-render</x:v>
      </x:c>
      <x:c r="D212" s="50" t="str">
        <x:v>Có tài khoản hợp lệ; đã đăng nhập CMS; nhóm Vua Thợ được phép truy cập. Đang ở trang Dashboard.</x:v>
      </x:c>
      <x:c r="E212" s="50" t="str">
        <x:v>1. Lấy element kỳ/card.
2. Thao tác làm re-render.
3. Thực hiện thao tác tiếp theo.</x:v>
      </x:c>
      <x:c r="F212" s="50" t="str">
        <x:v>Automation tìm lại element bằng locator; không retry mù hoặc nuốt lỗi.</x:v>
      </x:c>
      <x:c r="G212" s="50" t="str">
        <x:v>High</x:v>
      </x:c>
      <x:c r="H212" s="50" t="str">
        <x:v>P1</x:v>
      </x:c>
      <x:c r="I212" s="50" t="str">
        <x:v>Recovery</x:v>
      </x:c>
      <x:c r="J212" s="50" t="str">
        <x:v>Automate</x:v>
      </x:c>
      <x:c r="K212" s="50" t="str"/>
      <x:c r="L212" s="50" t="str">
        <x:v>Not Run</x:v>
      </x:c>
      <x:c r="M212" s="50" t="str"/>
      <x:c r="N212" s="50" t="str"/>
    </x:row>
    <x:row r="213" ht="72" customHeight="1">
      <x:c r="A213" s="50" t="str">
        <x:v>CAR-007</x:v>
      </x:c>
      <x:c r="B213" s="50" t="str">
        <x:v>Common UI, Accessibility &amp; Recovery</x:v>
      </x:c>
      <x:c r="C213" s="50" t="str">
        <x:v>Không dùng Thread.sleep trong flow Dashboard</x:v>
      </x:c>
      <x:c r="D213" s="50" t="str">
        <x:v>Có source automation.</x:v>
      </x:c>
      <x:c r="E213" s="50" t="str">
        <x:v>1. Quét source test/page object.
2. Tìm Thread.sleep.</x:v>
      </x:c>
      <x:c r="F213" s="50" t="str">
        <x:v>Không có Thread.sleep; dùng WebDriverWait/ExpectedConditions.</x:v>
      </x:c>
      <x:c r="G213" s="50" t="str">
        <x:v>High</x:v>
      </x:c>
      <x:c r="H213" s="50" t="str">
        <x:v>P1</x:v>
      </x:c>
      <x:c r="I213" s="50" t="str">
        <x:v>Validation</x:v>
      </x:c>
      <x:c r="J213" s="50" t="str">
        <x:v>Automate</x:v>
      </x:c>
      <x:c r="K213" s="50" t="str"/>
      <x:c r="L213" s="50" t="str">
        <x:v>Not Run</x:v>
      </x:c>
      <x:c r="M213" s="50" t="str"/>
      <x:c r="N213" s="50" t="str"/>
    </x:row>
    <x:row r="214" ht="72" customHeight="1">
      <x:c r="A214" s="50" t="str">
        <x:v>CAR-008</x:v>
      </x:c>
      <x:c r="B214" s="50" t="str">
        <x:v>Common UI, Accessibility &amp; Recovery</x:v>
      </x:c>
      <x:c r="C214" s="50" t="str">
        <x:v>Một testcase fail không dừng các testcase độc lập</x:v>
      </x:c>
      <x:c r="D214" s="50" t="str">
        <x:v>Có TestNG suite Dashboard.</x:v>
      </x:c>
      <x:c r="E214" s="50" t="str">
        <x:v>1. Cố ý làm fail một case độc lập.
2. Chạy suite.</x:v>
      </x:c>
      <x:c r="F214" s="50" t="str">
        <x:v>Các case phía sau vẫn chạy; browser chỉ đóng đúng lifecycle.</x:v>
      </x:c>
      <x:c r="G214" s="50" t="str">
        <x:v>Critical</x:v>
      </x:c>
      <x:c r="H214" s="50" t="str">
        <x:v>P0</x:v>
      </x:c>
      <x:c r="I214" s="50" t="str">
        <x:v>Recovery</x:v>
      </x:c>
      <x:c r="J214" s="50" t="str">
        <x:v>Automate</x:v>
      </x:c>
      <x:c r="K214" s="50" t="str"/>
      <x:c r="L214" s="50" t="str">
        <x:v>Not Run</x:v>
      </x:c>
      <x:c r="M214" s="50" t="str"/>
      <x:c r="N214" s="50" t="str"/>
    </x:row>
    <x:row r="215" ht="72" customHeight="1">
      <x:c r="A215" s="50" t="str">
        <x:v>CAR-009</x:v>
      </x:c>
      <x:c r="B215" s="50" t="str">
        <x:v>Common UI, Accessibility &amp; Recovery</x:v>
      </x:c>
      <x:c r="C215" s="50" t="str">
        <x:v>Browser chỉ đóng sau khi suite hoàn tất</x:v>
      </x:c>
      <x:c r="D215" s="50" t="str">
        <x:v>Có TestNG suite Dashboard.</x:v>
      </x:c>
      <x:c r="E215" s="50" t="str">
        <x:v>1. Chạy toàn bộ suite.
2. Theo dõi số test thực thi và thời điểm quit.</x:v>
      </x:c>
      <x:c r="F215" s="50" t="str">
        <x:v>Tất cả case dự kiến được chạy trước driver.quit().</x:v>
      </x:c>
      <x:c r="G215" s="50" t="str">
        <x:v>Critical</x:v>
      </x:c>
      <x:c r="H215" s="50" t="str">
        <x:v>P0</x:v>
      </x:c>
      <x:c r="I215" s="50" t="str">
        <x:v>Session</x:v>
      </x:c>
      <x:c r="J215" s="50" t="str">
        <x:v>Automate</x:v>
      </x:c>
      <x:c r="K215" s="50" t="str"/>
      <x:c r="L215" s="50" t="str">
        <x:v>Not Run</x:v>
      </x:c>
      <x:c r="M215" s="50" t="str"/>
      <x:c r="N215" s="50" t="str"/>
    </x:row>
    <x:row r="216" ht="72" customHeight="1">
      <x:c r="A216" s="50" t="str">
        <x:v>CAR-010</x:v>
      </x:c>
      <x:c r="B216" s="50" t="str">
        <x:v>Common UI, Accessibility &amp; Recovery</x:v>
      </x:c>
      <x:c r="C216" s="50" t="str">
        <x:v>Không refresh giữa các testcase ngoài yêu cầu</x:v>
      </x:c>
      <x:c r="D216" s="50" t="str">
        <x:v>Có automation suite.</x:v>
      </x:c>
      <x:c r="E216" s="50" t="str">
        <x:v>1. Chạy suite và ghi log navigation.
2. Kiểm tra các lời gọi refresh/get.</x:v>
      </x:c>
      <x:c r="F216" s="50" t="str">
        <x:v>Không có refresh/reload thừa làm mất trạng thái hoặc tăng thời gian.</x:v>
      </x:c>
      <x:c r="G216" s="50" t="str">
        <x:v>High</x:v>
      </x:c>
      <x:c r="H216" s="50" t="str">
        <x:v>P1</x:v>
      </x:c>
      <x:c r="I216" s="50" t="str">
        <x:v>Recovery</x:v>
      </x:c>
      <x:c r="J216" s="50" t="str">
        <x:v>Automate</x:v>
      </x:c>
      <x:c r="K216" s="50" t="str"/>
      <x:c r="L216" s="50" t="str">
        <x:v>Not Run</x:v>
      </x:c>
      <x:c r="M216" s="50" t="str"/>
      <x:c r="N216" s="50" t="str"/>
    </x:row>
    <x:row r="217" ht="72" customHeight="1">
      <x:c r="A217" s="50" t="str">
        <x:v>CAR-011</x:v>
      </x:c>
      <x:c r="B217" s="50" t="str">
        <x:v>Common UI, Accessibility &amp; Recovery</x:v>
      </x:c>
      <x:c r="C217" s="50" t="str">
        <x:v>Desktop 1366x768 không vỡ layout</x:v>
      </x:c>
      <x:c r="D217" s="50" t="str">
        <x:v>Có tài khoản hợp lệ; đã đăng nhập CMS; nhóm Vua Thợ được phép truy cập. Đang ở trang Dashboard.</x:v>
      </x:c>
      <x:c r="E217" s="50" t="str">
        <x:v>1. Đặt viewport 1366x768.
2. Kiểm tra header/sidebar/card/chart.</x:v>
      </x:c>
      <x:c r="F217" s="50" t="str">
        <x:v>Không chồng lấn; control chính truy cập được.</x:v>
      </x:c>
      <x:c r="G217" s="50" t="str">
        <x:v>Medium</x:v>
      </x:c>
      <x:c r="H217" s="50" t="str">
        <x:v>P2</x:v>
      </x:c>
      <x:c r="I217" s="50" t="str">
        <x:v>Responsive</x:v>
      </x:c>
      <x:c r="J217" s="50" t="str">
        <x:v>Automate</x:v>
      </x:c>
      <x:c r="K217" s="50" t="str"/>
      <x:c r="L217" s="50" t="str">
        <x:v>Not Run</x:v>
      </x:c>
      <x:c r="M217" s="50" t="str"/>
      <x:c r="N217" s="50" t="str"/>
    </x:row>
    <x:row r="218" ht="72" customHeight="1">
      <x:c r="A218" s="50" t="str">
        <x:v>CAR-012</x:v>
      </x:c>
      <x:c r="B218" s="50" t="str">
        <x:v>Common UI, Accessibility &amp; Recovery</x:v>
      </x:c>
      <x:c r="C218" s="50" t="str">
        <x:v>Desktop 1920x1080 không vỡ layout</x:v>
      </x:c>
      <x:c r="D218" s="50" t="str">
        <x:v>Có tài khoản hợp lệ; đã đăng nhập CMS; nhóm Vua Thợ được phép truy cập. Đang ở trang Dashboard.</x:v>
      </x:c>
      <x:c r="E218" s="50" t="str">
        <x:v>1. Đặt viewport 1920x1080.
2. Kiểm tra layout.</x:v>
      </x:c>
      <x:c r="F218" s="50" t="str">
        <x:v>Nội dung căn chỉnh hợp lý; không kéo giãn bất thường.</x:v>
      </x:c>
      <x:c r="G218" s="50" t="str">
        <x:v>Low</x:v>
      </x:c>
      <x:c r="H218" s="50" t="str">
        <x:v>P3</x:v>
      </x:c>
      <x:c r="I218" s="50" t="str">
        <x:v>Responsive</x:v>
      </x:c>
      <x:c r="J218" s="50" t="str">
        <x:v>Automate</x:v>
      </x:c>
      <x:c r="K218" s="50" t="str"/>
      <x:c r="L218" s="50" t="str">
        <x:v>Not Run</x:v>
      </x:c>
      <x:c r="M218" s="50" t="str"/>
      <x:c r="N218" s="50" t="str"/>
    </x:row>
    <x:row r="219" ht="72" customHeight="1">
      <x:c r="A219" s="50" t="str">
        <x:v>CAR-013</x:v>
      </x:c>
      <x:c r="B219" s="50" t="str">
        <x:v>Common UI, Accessibility &amp; Recovery</x:v>
      </x:c>
      <x:c r="C219" s="50" t="str">
        <x:v>Tablet width không vỡ layout</x:v>
      </x:c>
      <x:c r="D219" s="50" t="str">
        <x:v>Có tài khoản hợp lệ; đã đăng nhập CMS; nhóm Vua Thợ được phép truy cập. Đang ở trang Dashboard.</x:v>
      </x:c>
      <x:c r="E219" s="50" t="str">
        <x:v>1. Đặt viewport tablet.
2. Cuộn và kiểm tra các section.</x:v>
      </x:c>
      <x:c r="F219" s="50" t="str">
        <x:v>Layout responsive; không mất control.</x:v>
      </x:c>
      <x:c r="G219" s="50" t="str">
        <x:v>Medium</x:v>
      </x:c>
      <x:c r="H219" s="50" t="str">
        <x:v>P2</x:v>
      </x:c>
      <x:c r="I219" s="50" t="str">
        <x:v>Responsive</x:v>
      </x:c>
      <x:c r="J219" s="50" t="str">
        <x:v>Automate</x:v>
      </x:c>
      <x:c r="K219" s="50" t="str"/>
      <x:c r="L219" s="50" t="str">
        <x:v>Not Run</x:v>
      </x:c>
      <x:c r="M219" s="50" t="str"/>
      <x:c r="N219" s="50" t="str"/>
    </x:row>
    <x:row r="220" ht="72" customHeight="1">
      <x:c r="A220" s="50" t="str">
        <x:v>CAR-014</x:v>
      </x:c>
      <x:c r="B220" s="50" t="str">
        <x:v>Common UI, Accessibility &amp; Recovery</x:v>
      </x:c>
      <x:c r="C220" s="50" t="str">
        <x:v>Mobile width xử lý đúng phạm vi hỗ trợ</x:v>
      </x:c>
      <x:c r="D220" s="50" t="str">
        <x:v>Có tài khoản hợp lệ; đã đăng nhập CMS; nhóm Vua Thợ được phép truy cập. Đang ở trang Dashboard.</x:v>
      </x:c>
      <x:c r="E220" s="50" t="str">
        <x:v>1. Đặt viewport mobile.
2. Kiểm tra sidebar/header/section.</x:v>
      </x:c>
      <x:c r="F220" s="50" t="str">
        <x:v>Nếu mobile được hỗ trợ, layout dùng được; nếu không, hiển thị giới hạn rõ.</x:v>
      </x:c>
      <x:c r="G220" s="50" t="str">
        <x:v>Low</x:v>
      </x:c>
      <x:c r="H220" s="50" t="str">
        <x:v>P3</x:v>
      </x:c>
      <x:c r="I220" s="50" t="str">
        <x:v>Responsive</x:v>
      </x:c>
      <x:c r="J220" s="50" t="str">
        <x:v>Need business requirement</x:v>
      </x:c>
      <x:c r="K220" s="50" t="str"/>
      <x:c r="L220" s="50" t="str">
        <x:v>Not Run</x:v>
      </x:c>
      <x:c r="M220" s="50" t="str"/>
      <x:c r="N220" s="50" t="str"/>
    </x:row>
    <x:row r="221" ht="72" customHeight="1">
      <x:c r="A221" s="50" t="str">
        <x:v>CAR-015</x:v>
      </x:c>
      <x:c r="B221" s="50" t="str">
        <x:v>Common UI, Accessibility &amp; Recovery</x:v>
      </x:c>
      <x:c r="C221" s="50" t="str">
        <x:v>API timeout có thể retry hoặc báo lỗi rõ</x:v>
      </x:c>
      <x:c r="D221" s="50" t="str">
        <x:v>Thực hiện trên môi trường test/staging với dữ liệu an toàn.</x:v>
      </x:c>
      <x:c r="E221" s="50" t="str">
        <x:v>1. Mock timeout cho một section.
2. Thực hiện đổi kỳ.</x:v>
      </x:c>
      <x:c r="F221" s="50" t="str">
        <x:v>Không treo toàn trang; có thông báo/retry theo thiết kế.</x:v>
      </x:c>
      <x:c r="G221" s="50" t="str">
        <x:v>High</x:v>
      </x:c>
      <x:c r="H221" s="50" t="str">
        <x:v>P1</x:v>
      </x:c>
      <x:c r="I221" s="50" t="str">
        <x:v>Recovery</x:v>
      </x:c>
      <x:c r="J221" s="50" t="str">
        <x:v>Need API/Database</x:v>
      </x:c>
      <x:c r="K221" s="50" t="str"/>
      <x:c r="L221" s="50" t="str">
        <x:v>Not Run</x:v>
      </x:c>
      <x:c r="M221" s="50" t="str"/>
      <x:c r="N221" s="50" t="str"/>
    </x:row>
    <x:row r="222" ht="72" customHeight="1">
      <x:c r="A222" s="50" t="str">
        <x:v>CAR-016</x:v>
      </x:c>
      <x:c r="B222" s="50" t="str">
        <x:v>Common UI, Accessibility &amp; Recovery</x:v>
      </x:c>
      <x:c r="C222" s="50" t="str">
        <x:v>Mất mạng giữa lúc đổi bộ lọc</x:v>
      </x:c>
      <x:c r="D222" s="50" t="str">
        <x:v>Thực hiện trên môi trường test/staging với dữ liệu an toàn.</x:v>
      </x:c>
      <x:c r="E222" s="50" t="str">
        <x:v>1. Bắt đầu đổi kỳ.
2. Ngắt mạng trước khi response về.
3. Khôi phục mạng.</x:v>
      </x:c>
      <x:c r="F222" s="50" t="str">
        <x:v>UI không hiển thị dữ liệu sai; có thể retry/khôi phục.</x:v>
      </x:c>
      <x:c r="G222" s="50" t="str">
        <x:v>High</x:v>
      </x:c>
      <x:c r="H222" s="50" t="str">
        <x:v>P1</x:v>
      </x:c>
      <x:c r="I222" s="50" t="str">
        <x:v>Recovery</x:v>
      </x:c>
      <x:c r="J222" s="50" t="str">
        <x:v>Need API/Network simulation</x:v>
      </x:c>
      <x:c r="K222" s="50" t="str"/>
      <x:c r="L222" s="50" t="str">
        <x:v>Not Run</x:v>
      </x:c>
      <x:c r="M222" s="50" t="str"/>
      <x:c r="N222" s="50" t="str"/>
    </x:row>
    <x:row r="223" ht="72" customHeight="1">
      <x:c r="A223" s="50" t="str">
        <x:v>CAR-017</x:v>
      </x:c>
      <x:c r="B223" s="50" t="str">
        <x:v>Common UI, Accessibility &amp; Recovery</x:v>
      </x:c>
      <x:c r="C223" s="50" t="str">
        <x:v>Dữ liệu text đặc biệt không gây XSS</x:v>
      </x:c>
      <x:c r="D223" s="50" t="str">
        <x:v>Thực hiện trên môi trường test/staging với dữ liệu an toàn.</x:v>
      </x:c>
      <x:c r="E223" s="50" t="str">
        <x:v>1. Mock tên ngành nghề/tin tức chứa HTML/script.
2. Mở Dashboard.</x:v>
      </x:c>
      <x:c r="F223" s="50" t="str">
        <x:v>Nội dung được escape; script không thực thi.</x:v>
      </x:c>
      <x:c r="G223" s="50" t="str">
        <x:v>Critical</x:v>
      </x:c>
      <x:c r="H223" s="50" t="str">
        <x:v>P0</x:v>
      </x:c>
      <x:c r="I223" s="50" t="str">
        <x:v>Security</x:v>
      </x:c>
      <x:c r="J223" s="50" t="str">
        <x:v>Need API/Database</x:v>
      </x:c>
      <x:c r="K223" s="50" t="str"/>
      <x:c r="L223" s="50" t="str">
        <x:v>Not Run</x:v>
      </x:c>
      <x:c r="M223" s="50" t="str"/>
      <x:c r="N223" s="50" t="str"/>
    </x:row>
    <x:row r="224" ht="72" customHeight="1">
      <x:c r="A224" s="50" t="str">
        <x:v>CAR-018</x:v>
      </x:c>
      <x:c r="B224" s="50" t="str">
        <x:v>Common UI, Accessibility &amp; Recovery</x:v>
      </x:c>
      <x:c r="C224" s="50" t="str">
        <x:v>Số liệu null/thiếu trường</x:v>
      </x:c>
      <x:c r="D224" s="50" t="str">
        <x:v>Thực hiện trên môi trường test/staging với dữ liệu an toàn.</x:v>
      </x:c>
      <x:c r="E224" s="50" t="str">
        <x:v>1. Mock API thiếu một số trường.
2. Mở Dashboard.</x:v>
      </x:c>
      <x:c r="F224" s="50" t="str">
        <x:v>Hiển thị placeholder/empty state; không crash hoặc hiện undefined.</x:v>
      </x:c>
      <x:c r="G224" s="50" t="str">
        <x:v>High</x:v>
      </x:c>
      <x:c r="H224" s="50" t="str">
        <x:v>P1</x:v>
      </x:c>
      <x:c r="I224" s="50" t="str">
        <x:v>Negative</x:v>
      </x:c>
      <x:c r="J224" s="50" t="str">
        <x:v>Need API/Database</x:v>
      </x:c>
      <x:c r="K224" s="50" t="str"/>
      <x:c r="L224" s="50" t="str">
        <x:v>Not Run</x:v>
      </x:c>
      <x:c r="M224" s="50" t="str"/>
      <x:c r="N224" s="50" t="str"/>
    </x:row>
    <x:row r="225" ht="72" customHeight="1">
      <x:c r="A225" s="50" t="str">
        <x:v>CAR-019</x:v>
      </x:c>
      <x:c r="B225" s="50" t="str">
        <x:v>Common UI, Accessibility &amp; Recovery</x:v>
      </x:c>
      <x:c r="C225" s="50" t="str">
        <x:v>Số liệu định dạng locale khác</x:v>
      </x:c>
      <x:c r="D225" s="50" t="str">
        <x:v>Thực hiện trên môi trường test/staging với dữ liệu an toàn.</x:v>
      </x:c>
      <x:c r="E225" s="50" t="str">
        <x:v>1. Mock số có dấu chấm/phẩy khác nhau hoặc đổi locale.
2. Mở Dashboard.</x:v>
      </x:c>
      <x:c r="F225" s="50" t="str">
        <x:v>UI format theo locale cấu hình; automation parse bằng quy tắc rõ ràng.</x:v>
      </x:c>
      <x:c r="G225" s="50" t="str">
        <x:v>Medium</x:v>
      </x:c>
      <x:c r="H225" s="50" t="str">
        <x:v>P2</x:v>
      </x:c>
      <x:c r="I225" s="50" t="str">
        <x:v>Boundary</x:v>
      </x:c>
      <x:c r="J225" s="50" t="str">
        <x:v>Need business requirement</x:v>
      </x:c>
      <x:c r="K225" s="50" t="str"/>
      <x:c r="L225" s="50" t="str">
        <x:v>Not Run</x:v>
      </x:c>
      <x:c r="M225" s="50" t="str"/>
      <x:c r="N225" s="50" t="str"/>
    </x:row>
    <x:row r="226" ht="72" customHeight="1">
      <x:c r="A226" s="50" t="str">
        <x:v>CAR-020</x:v>
      </x:c>
      <x:c r="B226" s="50" t="str">
        <x:v>Common UI, Accessibility &amp; Recovery</x:v>
      </x:c>
      <x:c r="C226" s="50" t="str">
        <x:v>Chụp screenshot và log khi testcase fail</x:v>
      </x:c>
      <x:c r="D226" s="50" t="str">
        <x:v>Có TestNG Listener.</x:v>
      </x:c>
      <x:c r="E226" s="50" t="str">
        <x:v>1. Làm fail một testcase.
2. Kiểm tra thư mục report/screenshot và log.</x:v>
      </x:c>
      <x:c r="F226" s="50" t="str">
        <x:v>Có screenshot, URL, expected, actual, timestamp và stack trace.</x:v>
      </x:c>
      <x:c r="G226" s="50" t="str">
        <x:v>High</x:v>
      </x:c>
      <x:c r="H226" s="50" t="str">
        <x:v>P1</x:v>
      </x:c>
      <x:c r="I226" s="50" t="str">
        <x:v>Recovery</x:v>
      </x:c>
      <x:c r="J226" s="50" t="str">
        <x:v>Automate</x:v>
      </x:c>
      <x:c r="K226" s="50" t="str"/>
      <x:c r="L226" s="50" t="str">
        <x:v>Not Run</x:v>
      </x:c>
      <x:c r="M226" s="50" t="str"/>
      <x:c r="N226" s="50" t="str"/>
    </x:row>
  </x:sheetData>
  <x:mergeCells>
    <x:mergeCell ref="A1:N1"/>
    <x:mergeCell ref="A2:N2"/>
  </x:mergeCells>
  <x:conditionalFormatting sqref="L5:L226">
    <x:cfRule type="expression" dxfId="0" priority="1">
      <x:formula>L5="Pass"</x:formula>
    </x:cfRule>
    <x:cfRule type="expression" dxfId="1" priority="2">
      <x:formula>L5="Fail"</x:formula>
    </x:cfRule>
    <x:cfRule type="expression" dxfId="2" priority="3">
      <x:formula>L5="Blocked"</x:formula>
    </x:cfRule>
    <x:cfRule type="expression" dxfId="3" priority="4">
      <x:formula>L5="Skipped"</x:formula>
    </x:cfRule>
    <x:cfRule type="expression" dxfId="4" priority="5">
      <x:formula>L5="Not Run"</x:formula>
    </x:cfRule>
  </x:conditionalFormatting>
  <x:conditionalFormatting sqref="G5:G226">
    <x:cfRule type="expression" dxfId="5" priority="6">
      <x:formula>G5="Critical"</x:formula>
    </x:cfRule>
    <x:cfRule type="expression" dxfId="6" priority="7">
      <x:formula>G5="High"</x:formula>
    </x:cfRule>
    <x:cfRule type="expression" dxfId="7" priority="8">
      <x:formula>G5="Medium"</x:formula>
    </x:cfRule>
    <x:cfRule type="expression" dxfId="8" priority="9">
      <x:formula>G5="Low"</x:formula>
    </x:cfRule>
  </x:conditionalFormatting>
  <x:dataValidations count="5">
    <x:dataValidation type="list" sqref="G5:G226">
      <x:formula1>"Critical,High,Medium,Low"</x:formula1>
    </x:dataValidation>
    <x:dataValidation type="list" sqref="H5:H226">
      <x:formula1>"P0,P1,P2,P3"</x:formula1>
    </x:dataValidation>
    <x:dataValidation type="list" sqref="I5:I226">
      <x:formula1>"Functional,UI,Navigation,Validation,Negative,Boundary,Data Integrity,Download,Session,Permission,Responsive,Accessibility,Recovery,Security"</x:formula1>
    </x:dataValidation>
    <x:dataValidation type="list" sqref="J5:J226">
      <x:formula1>"Automate,Need more DOM,Need API/Database,Need business requirement,Need API/Network simulation,Manual"</x:formula1>
    </x:dataValidation>
    <x:dataValidation type="list" sqref="L5:L226">
      <x:formula1>"Not Run,Pass,Fail,Blocked,Skipped"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e9b5cbbe724af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42" hidden="0" customWidth="1"/>
    <x:col min="4" max="4" width="38" hidden="0" customWidth="1"/>
    <x:col min="5" max="5" width="55" hidden="0" customWidth="1"/>
    <x:col min="6" max="6" width="55" hidden="0" customWidth="1"/>
    <x:col min="7" max="7" width="11" hidden="0" customWidth="1"/>
    <x:col min="8" max="8" width="9" hidden="0" customWidth="1"/>
    <x:col min="9" max="9" width="18" hidden="0" customWidth="1"/>
    <x:col min="10" max="10" width="24" hidden="0" customWidth="1"/>
    <x:col min="11" max="11" width="38" hidden="0" customWidth="1"/>
    <x:col min="12" max="12" width="12" hidden="0" customWidth="1"/>
    <x:col min="13" max="13" width="16" hidden="0" customWidth="1"/>
    <x:col min="14" max="14" width="36" hidden="0" customWidth="1"/>
  </x:cols>
  <x:sheetData>
    <x:row r="1" ht="30" customHeight="1">
      <x:c r="A1" s="5" t="str">
        <x:v>DASHBOARD LOAD &amp; SESSION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3" t="str">
        <x:v>15 testcase thuộc module Dashboard Load &amp; Session.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2" customHeight="1">
      <x:c r="A4" s="45" t="str">
        <x:v>Test Case ID</x:v>
      </x:c>
      <x:c r="B4" s="45" t="str">
        <x:v>Module</x:v>
      </x:c>
      <x:c r="C4" s="45" t="str">
        <x:v>Test Scenario</x:v>
      </x:c>
      <x:c r="D4" s="45" t="str">
        <x:v>Precondition</x:v>
      </x:c>
      <x:c r="E4" s="45" t="str">
        <x:v>Test Steps</x:v>
      </x:c>
      <x:c r="F4" s="45" t="str">
        <x:v>Expected Result</x:v>
      </x:c>
      <x:c r="G4" s="45" t="str">
        <x:v>Severity</x:v>
      </x:c>
      <x:c r="H4" s="45" t="str">
        <x:v>Priority</x:v>
      </x:c>
      <x:c r="I4" s="45" t="str">
        <x:v>Test Type</x:v>
      </x:c>
      <x:c r="J4" s="45" t="str">
        <x:v>Automation Feasibility</x:v>
      </x:c>
      <x:c r="K4" s="45" t="str">
        <x:v>Actual Result</x:v>
      </x:c>
      <x:c r="L4" s="45" t="str">
        <x:v>Status</x:v>
      </x:c>
      <x:c r="M4" s="45" t="str">
        <x:v>Tester</x:v>
      </x:c>
      <x:c r="N4" s="45" t="str">
        <x:v>Notes / DOM Evidence</x:v>
      </x:c>
    </x:row>
    <x:row r="5" ht="72" customHeight="1">
      <x:c r="A5" s="50" t="str">
        <x:v>DLS-001</x:v>
      </x:c>
      <x:c r="B5" s="50" t="str">
        <x:v>Dashboard Load &amp; Session</x:v>
      </x:c>
      <x:c r="C5" s="50" t="str">
        <x:v>Mở Dashboard thành công</x:v>
      </x:c>
      <x:c r="D5" s="50" t="str">
        <x:v>Có tài khoản hợp lệ; đã đăng nhập CMS; nhóm Vua Thợ được phép truy cập.</x:v>
      </x:c>
      <x:c r="E5" s="50" t="str">
        <x:v>1. Truy cập đường dẫn Dashboard.
2. Chờ trang hoàn tất tải.
3. Quan sát URL, breadcrumb, menu active và nội dung chính.</x:v>
      </x:c>
      <x:c r="F5" s="50" t="str">
        <x:v>URL đúng Dashboard; breadcrumb hiển thị “Dashboard”; menu Dashboard active; nội dung chính hiển thị.</x:v>
      </x:c>
      <x:c r="G5" s="50" t="str">
        <x:v>Critical</x:v>
      </x:c>
      <x:c r="H5" s="50" t="str">
        <x:v>P0</x:v>
      </x:c>
      <x:c r="I5" s="50" t="str">
        <x:v>Functional</x:v>
      </x:c>
      <x:c r="J5" s="50" t="str">
        <x:v>Automate</x:v>
      </x:c>
      <x:c r="K5" s="50" t="str"/>
      <x:c r="L5" s="50" t="str">
        <x:v>Not Run</x:v>
      </x:c>
      <x:c r="M5" s="50" t="str"/>
      <x:c r="N5" s="50" t="str"/>
    </x:row>
    <x:row r="6" ht="72" customHeight="1">
      <x:c r="A6" s="50" t="str">
        <x:v>DLS-002</x:v>
      </x:c>
      <x:c r="B6" s="50" t="str">
        <x:v>Dashboard Load &amp; Session</x:v>
      </x:c>
      <x:c r="C6" s="50" t="str">
        <x:v>Không xuất hiện trang trắng hoặc lỗi hệ thống</x:v>
      </x:c>
      <x:c r="D6" s="50" t="str">
        <x:v>Có tài khoản hợp lệ; đã đăng nhập CMS; nhóm Vua Thợ được phép truy cập. Đang ở trang Dashboard.</x:v>
      </x:c>
      <x:c r="E6" s="50" t="str">
        <x:v>1. Tải lại Dashboard.
2. Kiểm tra vùng main content.
3. Tìm các thông báo 404, 500, Page Not Found, Internal Server Error.</x:v>
      </x:c>
      <x:c r="F6" s="50" t="str">
        <x:v>Main content không trống; không xuất hiện thông báo lỗi 404/500 hoặc lỗi hệ thống.</x:v>
      </x:c>
      <x:c r="G6" s="50" t="str">
        <x:v>Critical</x:v>
      </x:c>
      <x:c r="H6" s="50" t="str">
        <x:v>P0</x:v>
      </x:c>
      <x:c r="I6" s="50" t="str">
        <x:v>Recovery</x:v>
      </x:c>
      <x:c r="J6" s="50" t="str">
        <x:v>Automate</x:v>
      </x:c>
      <x:c r="K6" s="50" t="str"/>
      <x:c r="L6" s="50" t="str">
        <x:v>Not Run</x:v>
      </x:c>
      <x:c r="M6" s="50" t="str"/>
      <x:c r="N6" s="50" t="str"/>
    </x:row>
    <x:row r="7" ht="72" customHeight="1">
      <x:c r="A7" s="50" t="str">
        <x:v>DLS-003</x:v>
      </x:c>
      <x:c r="B7" s="50" t="str">
        <x:v>Dashboard Load &amp; Session</x:v>
      </x:c>
      <x:c r="C7" s="50" t="str">
        <x:v>Hiển thị đầy đủ các section chính</x:v>
      </x:c>
      <x:c r="D7" s="50" t="str">
        <x:v>Có tài khoản hợp lệ; đã đăng nhập CMS; nhóm Vua Thợ được phép truy cập. Đang ở trang Dashboard.</x:v>
      </x:c>
      <x:c r="E7" s="50" t="str">
        <x:v>1. Mở Dashboard.
2. Kiểm tra lần lượt các section: Thống Kê Tổng Quan, Vua Thợ Trên Toàn Cầu, Danh Sách Người Dùng, Danh Sách Ngành Nghề.</x:v>
      </x:c>
      <x:c r="F7" s="50" t="str">
        <x:v>Cả 4 section hiển thị và không chồng lấn.</x:v>
      </x:c>
      <x:c r="G7" s="50" t="str">
        <x:v>High</x:v>
      </x:c>
      <x:c r="H7" s="50" t="str">
        <x:v>P1</x:v>
      </x:c>
      <x:c r="I7" s="50" t="str">
        <x:v>UI</x:v>
      </x:c>
      <x:c r="J7" s="50" t="str">
        <x:v>Automate</x:v>
      </x:c>
      <x:c r="K7" s="50" t="str"/>
      <x:c r="L7" s="50" t="str">
        <x:v>Not Run</x:v>
      </x:c>
      <x:c r="M7" s="50" t="str"/>
      <x:c r="N7" s="50" t="str"/>
    </x:row>
    <x:row r="8" ht="72" customHeight="1">
      <x:c r="A8" s="50" t="str">
        <x:v>DLS-004</x:v>
      </x:c>
      <x:c r="B8" s="50" t="str">
        <x:v>Dashboard Load &amp; Session</x:v>
      </x:c>
      <x:c r="C8" s="50" t="str">
        <x:v>Không loading vô hạn</x:v>
      </x:c>
      <x:c r="D8" s="50" t="str">
        <x:v>Có tài khoản hợp lệ; đã đăng nhập CMS; nhóm Vua Thợ được phép truy cập. Đang ở trang Dashboard.</x:v>
      </x:c>
      <x:c r="E8" s="50" t="str">
        <x:v>1. Mở Dashboard khi mạng bình thường.
2. Chờ đến timeout cấu hình.
3. Theo dõi loading indicator và khả năng tương tác.</x:v>
      </x:c>
      <x:c r="F8" s="50" t="str">
        <x:v>Loading kết thúc trong timeout; các control chính có thể thao tác.</x:v>
      </x:c>
      <x:c r="G8" s="50" t="str">
        <x:v>High</x:v>
      </x:c>
      <x:c r="H8" s="50" t="str">
        <x:v>P1</x:v>
      </x:c>
      <x:c r="I8" s="50" t="str">
        <x:v>Recovery</x:v>
      </x:c>
      <x:c r="J8" s="50" t="str">
        <x:v>Automate</x:v>
      </x:c>
      <x:c r="K8" s="50" t="str"/>
      <x:c r="L8" s="50" t="str">
        <x:v>Not Run</x:v>
      </x:c>
      <x:c r="M8" s="50" t="str"/>
      <x:c r="N8" s="50" t="str"/>
    </x:row>
    <x:row r="9" ht="72" customHeight="1">
      <x:c r="A9" s="50" t="str">
        <x:v>DLS-005</x:v>
      </x:c>
      <x:c r="B9" s="50" t="str">
        <x:v>Dashboard Load &amp; Session</x:v>
      </x:c>
      <x:c r="C9" s="50" t="str">
        <x:v>Không tự reload lặp sau khi vào Dashboard</x:v>
      </x:c>
      <x:c r="D9" s="50" t="str">
        <x:v>Có tài khoản hợp lệ; đã đăng nhập CMS; nhóm Vua Thợ được phép truy cập. Đang ở trang Dashboard.</x:v>
      </x:c>
      <x:c r="E9" s="50" t="str">
        <x:v>1. Ghi nhận URL và navigation timing sau khi trang ổn định.
2. Theo dõi trang trong khoảng quan sát cấu hình.
3. Kiểm tra số lần navigation/reload.</x:v>
      </x:c>
      <x:c r="F9" s="50" t="str">
        <x:v>Trang không tự reload nhiều lần; URL và trạng thái UI ổn định.</x:v>
      </x:c>
      <x:c r="G9" s="50" t="str">
        <x:v>Critical</x:v>
      </x:c>
      <x:c r="H9" s="50" t="str">
        <x:v>P0</x:v>
      </x:c>
      <x:c r="I9" s="50" t="str">
        <x:v>Session</x:v>
      </x:c>
      <x:c r="J9" s="50" t="str">
        <x:v>Automate</x:v>
      </x:c>
      <x:c r="K9" s="50" t="str"/>
      <x:c r="L9" s="50" t="str">
        <x:v>Not Run</x:v>
      </x:c>
      <x:c r="M9" s="50" t="str"/>
      <x:c r="N9" s="50" t="str"/>
    </x:row>
    <x:row r="10" ht="72" customHeight="1">
      <x:c r="A10" s="50" t="str">
        <x:v>DLS-006</x:v>
      </x:c>
      <x:c r="B10" s="50" t="str">
        <x:v>Dashboard Load &amp; Session</x:v>
      </x:c>
      <x:c r="C10" s="50" t="str">
        <x:v>Không tự logout khi đang sử dụng Dashboard</x:v>
      </x:c>
      <x:c r="D10" s="50" t="str">
        <x:v>Có tài khoản hợp lệ; đã đăng nhập CMS; nhóm Vua Thợ được phép truy cập. Đang ở trang Dashboard.</x:v>
      </x:c>
      <x:c r="E10" s="50" t="str">
        <x:v>1. Để trang mở trong khoảng quan sát cấu hình.
2. Thực hiện đổi bộ lọc thời gian và cuộn trang.
3. Kiểm tra session và URL.</x:v>
      </x:c>
      <x:c r="F10" s="50" t="str">
        <x:v>Không bị chuyển về trang đăng nhập khi session vẫn còn hiệu lực.</x:v>
      </x:c>
      <x:c r="G10" s="50" t="str">
        <x:v>Critical</x:v>
      </x:c>
      <x:c r="H10" s="50" t="str">
        <x:v>P0</x:v>
      </x:c>
      <x:c r="I10" s="50" t="str">
        <x:v>Session</x:v>
      </x:c>
      <x:c r="J10" s="50" t="str">
        <x:v>Automate</x:v>
      </x:c>
      <x:c r="K10" s="50" t="str"/>
      <x:c r="L10" s="50" t="str">
        <x:v>Not Run</x:v>
      </x:c>
      <x:c r="M10" s="50" t="str"/>
      <x:c r="N10" s="50" t="str"/>
    </x:row>
    <x:row r="11" ht="72" customHeight="1">
      <x:c r="A11" s="50" t="str">
        <x:v>DLS-007</x:v>
      </x:c>
      <x:c r="B11" s="50" t="str">
        <x:v>Dashboard Load &amp; Session</x:v>
      </x:c>
      <x:c r="C11" s="50" t="str">
        <x:v>Refresh thủ công vẫn giữ session</x:v>
      </x:c>
      <x:c r="D11" s="50" t="str">
        <x:v>Có tài khoản hợp lệ; đã đăng nhập CMS; nhóm Vua Thợ được phép truy cập. Đang ở trang Dashboard.</x:v>
      </x:c>
      <x:c r="E11" s="50" t="str">
        <x:v>1. Nhấn refresh trình duyệt một lần.
2. Chờ trang tải xong.
3. Kiểm tra trạng thái đăng nhập và Dashboard.</x:v>
      </x:c>
      <x:c r="F11" s="50" t="str">
        <x:v>Dashboard tải lại một lần; session còn hiệu lực; không bị login lại ngoài mong đợi.</x:v>
      </x:c>
      <x:c r="G11" s="50" t="str">
        <x:v>High</x:v>
      </x:c>
      <x:c r="H11" s="50" t="str">
        <x:v>P1</x:v>
      </x:c>
      <x:c r="I11" s="50" t="str">
        <x:v>Session</x:v>
      </x:c>
      <x:c r="J11" s="50" t="str">
        <x:v>Automate</x:v>
      </x:c>
      <x:c r="K11" s="50" t="str"/>
      <x:c r="L11" s="50" t="str">
        <x:v>Not Run</x:v>
      </x:c>
      <x:c r="M11" s="50" t="str"/>
      <x:c r="N11" s="50" t="str"/>
    </x:row>
    <x:row r="12" ht="72" customHeight="1">
      <x:c r="A12" s="50" t="str">
        <x:v>DLS-008</x:v>
      </x:c>
      <x:c r="B12" s="50" t="str">
        <x:v>Dashboard Load &amp; Session</x:v>
      </x:c>
      <x:c r="C12" s="50" t="str">
        <x:v>Điều hướng Back/Forward giữa Dashboard và menu khác</x:v>
      </x:c>
      <x:c r="D12" s="50" t="str">
        <x:v>Có tài khoản hợp lệ; đã đăng nhập CMS; nhóm Vua Thợ được phép truy cập. Đang ở trang Dashboard.</x:v>
      </x:c>
      <x:c r="E12" s="50" t="str">
        <x:v>1. Mở một menu có link.
2. Nhấn Back.
3. Nhấn Forward.</x:v>
      </x:c>
      <x:c r="F12" s="50" t="str">
        <x:v>Back quay về Dashboard đúng trạng thái; Forward quay lại trang trước; không lỗi session.</x:v>
      </x:c>
      <x:c r="G12" s="50" t="str">
        <x:v>Medium</x:v>
      </x:c>
      <x:c r="H12" s="50" t="str">
        <x:v>P2</x:v>
      </x:c>
      <x:c r="I12" s="50" t="str">
        <x:v>Navigation</x:v>
      </x:c>
      <x:c r="J12" s="50" t="str">
        <x:v>Automate</x:v>
      </x:c>
      <x:c r="K12" s="50" t="str"/>
      <x:c r="L12" s="50" t="str">
        <x:v>Not Run</x:v>
      </x:c>
      <x:c r="M12" s="50" t="str"/>
      <x:c r="N12" s="50" t="str"/>
    </x:row>
    <x:row r="13" ht="72" customHeight="1">
      <x:c r="A13" s="50" t="str">
        <x:v>DLS-009</x:v>
      </x:c>
      <x:c r="B13" s="50" t="str">
        <x:v>Dashboard Load &amp; Session</x:v>
      </x:c>
      <x:c r="C13" s="50" t="str">
        <x:v>Route, tiêu đề và nội dung trang nhất quán</x:v>
      </x:c>
      <x:c r="D13" s="50" t="str">
        <x:v>Có tài khoản hợp lệ; đã đăng nhập CMS; nhóm Vua Thợ được phép truy cập. Đang ở trang Dashboard.</x:v>
      </x:c>
      <x:c r="E13" s="50" t="str">
        <x:v>1. Đọc URL thực tế.
2. Đọc breadcrumb/heading chính.
3. Đọc document title hoặc route announcer.</x:v>
      </x:c>
      <x:c r="F13" s="50" t="str">
        <x:v>Các dấu hiệu người dùng nhìn thấy đều xác định đây là Dashboard; không bị nhận nhầm theo metadata động.</x:v>
      </x:c>
      <x:c r="G13" s="50" t="str">
        <x:v>High</x:v>
      </x:c>
      <x:c r="H13" s="50" t="str">
        <x:v>P1</x:v>
      </x:c>
      <x:c r="I13" s="50" t="str">
        <x:v>Data Integrity</x:v>
      </x:c>
      <x:c r="J13" s="50" t="str">
        <x:v>Automate</x:v>
      </x:c>
      <x:c r="K13" s="50" t="str"/>
      <x:c r="L13" s="50" t="str">
        <x:v>Not Run</x:v>
      </x:c>
      <x:c r="M13" s="50" t="str"/>
      <x:c r="N13" s="50" t="str">
        <x:v>File snapshot có __NEXT_DATA__ không nhất quán; automation phải ưu tiên URL/heading/menu active.</x:v>
      </x:c>
    </x:row>
    <x:row r="14" ht="72" customHeight="1">
      <x:c r="A14" s="50" t="str">
        <x:v>DLS-010</x:v>
      </x:c>
      <x:c r="B14" s="50" t="str">
        <x:v>Dashboard Load &amp; Session</x:v>
      </x:c>
      <x:c r="C14" s="50" t="str">
        <x:v>Chỉ thao tác với sidebar đang hiển thị khi DOM bị lặp</x:v>
      </x:c>
      <x:c r="D14" s="50" t="str">
        <x:v>Có tài khoản hợp lệ; đã đăng nhập CMS; nhóm Vua Thợ được phép truy cập. Đang ở trang Dashboard.</x:v>
      </x:c>
      <x:c r="E14" s="50" t="str">
        <x:v>1. Tìm tất cả sidebar có aria-label='menu'.
2. Lọc phần tử displayed và có kích thước &gt; 0.
3. Thực hiện click Dashboard trên sidebar hiển thị.</x:v>
      </x:c>
      <x:c r="F14" s="50" t="str">
        <x:v>Chỉ một sidebar hiển thị được dùng; không click phần tử ẩn/trùng.</x:v>
      </x:c>
      <x:c r="G14" s="50" t="str">
        <x:v>High</x:v>
      </x:c>
      <x:c r="H14" s="50" t="str">
        <x:v>P1</x:v>
      </x:c>
      <x:c r="I14" s="50" t="str">
        <x:v>Functional</x:v>
      </x:c>
      <x:c r="J14" s="50" t="str">
        <x:v>Automate</x:v>
      </x:c>
      <x:c r="K14" s="50" t="str"/>
      <x:c r="L14" s="50" t="str">
        <x:v>Not Run</x:v>
      </x:c>
      <x:c r="M14" s="50" t="str"/>
      <x:c r="N14" s="50" t="str">
        <x:v>OuterHTML có sidebar lặp.</x:v>
      </x:c>
    </x:row>
    <x:row r="15" ht="72" customHeight="1">
      <x:c r="A15" s="50" t="str">
        <x:v>DLS-011</x:v>
      </x:c>
      <x:c r="B15" s="50" t="str">
        <x:v>Dashboard Load &amp; Session</x:v>
      </x:c>
      <x:c r="C15" s="50" t="str">
        <x:v>Trang ổn định khi API phản hồi chậm</x:v>
      </x:c>
      <x:c r="D15" s="50" t="str">
        <x:v>Có tài khoản hợp lệ; đã đăng nhập CMS; nhóm Vua Thợ được phép truy cập. Đang ở trang Dashboard.</x:v>
      </x:c>
      <x:c r="E15" s="50" t="str">
        <x:v>1. Mô phỏng network chậm.
2. Mở Dashboard.
3. Theo dõi loading và timeout.</x:v>
      </x:c>
      <x:c r="F15" s="50" t="str">
        <x:v>Có trạng thái chờ hợp lý; không trắng trang; hết timeout phải báo lỗi rõ ràng.</x:v>
      </x:c>
      <x:c r="G15" s="50" t="str">
        <x:v>High</x:v>
      </x:c>
      <x:c r="H15" s="50" t="str">
        <x:v>P1</x:v>
      </x:c>
      <x:c r="I15" s="50" t="str">
        <x:v>Recovery</x:v>
      </x:c>
      <x:c r="J15" s="50" t="str">
        <x:v>Need API/Database</x:v>
      </x:c>
      <x:c r="K15" s="50" t="str"/>
      <x:c r="L15" s="50" t="str">
        <x:v>Not Run</x:v>
      </x:c>
      <x:c r="M15" s="50" t="str"/>
      <x:c r="N15" s="50" t="str"/>
    </x:row>
    <x:row r="16" ht="72" customHeight="1">
      <x:c r="A16" s="50" t="str">
        <x:v>DLS-012</x:v>
      </x:c>
      <x:c r="B16" s="50" t="str">
        <x:v>Dashboard Load &amp; Session</x:v>
      </x:c>
      <x:c r="C16" s="50" t="str">
        <x:v>Xử lý khi API Dashboard trả lỗi 500</x:v>
      </x:c>
      <x:c r="D16" s="50" t="str">
        <x:v>Thực hiện trên môi trường test/staging với dữ liệu an toàn.</x:v>
      </x:c>
      <x:c r="E16" s="50" t="str">
        <x:v>1. Mock API Dashboard trả 500.
2. Mở Dashboard.
3. Quan sát thông báo và khả năng thao tác lại.</x:v>
      </x:c>
      <x:c r="F16" s="50" t="str">
        <x:v>UI hiển thị lỗi thân thiện hoặc trạng thái fallback; không crash toàn trang.</x:v>
      </x:c>
      <x:c r="G16" s="50" t="str">
        <x:v>High</x:v>
      </x:c>
      <x:c r="H16" s="50" t="str">
        <x:v>P1</x:v>
      </x:c>
      <x:c r="I16" s="50" t="str">
        <x:v>Negative</x:v>
      </x:c>
      <x:c r="J16" s="50" t="str">
        <x:v>Need API/Database</x:v>
      </x:c>
      <x:c r="K16" s="50" t="str"/>
      <x:c r="L16" s="50" t="str">
        <x:v>Not Run</x:v>
      </x:c>
      <x:c r="M16" s="50" t="str"/>
      <x:c r="N16" s="50" t="str"/>
    </x:row>
    <x:row r="17" ht="72" customHeight="1">
      <x:c r="A17" s="50" t="str">
        <x:v>DLS-013</x:v>
      </x:c>
      <x:c r="B17" s="50" t="str">
        <x:v>Dashboard Load &amp; Session</x:v>
      </x:c>
      <x:c r="C17" s="50" t="str">
        <x:v>Session hết hạn trong lúc đang ở Dashboard</x:v>
      </x:c>
      <x:c r="D17" s="50" t="str">
        <x:v>Thực hiện trên môi trường test/staging với dữ liệu an toàn.</x:v>
      </x:c>
      <x:c r="E17" s="50" t="str">
        <x:v>1. Mở Dashboard.
2. Làm hết hạn token/session.
3. Thực hiện thao tác gọi API.</x:v>
      </x:c>
      <x:c r="F17" s="50" t="str">
        <x:v>Hệ thống chuyển đến đăng nhập hoặc thông báo hết phiên đúng quy định; không lặp redirect.</x:v>
      </x:c>
      <x:c r="G17" s="50" t="str">
        <x:v>Critical</x:v>
      </x:c>
      <x:c r="H17" s="50" t="str">
        <x:v>P0</x:v>
      </x:c>
      <x:c r="I17" s="50" t="str">
        <x:v>Session</x:v>
      </x:c>
      <x:c r="J17" s="50" t="str">
        <x:v>Need API/Database</x:v>
      </x:c>
      <x:c r="K17" s="50" t="str"/>
      <x:c r="L17" s="50" t="str">
        <x:v>Not Run</x:v>
      </x:c>
      <x:c r="M17" s="50" t="str"/>
      <x:c r="N17" s="50" t="str"/>
    </x:row>
    <x:row r="18" ht="72" customHeight="1">
      <x:c r="A18" s="50" t="str">
        <x:v>DLS-014</x:v>
      </x:c>
      <x:c r="B18" s="50" t="str">
        <x:v>Dashboard Load &amp; Session</x:v>
      </x:c>
      <x:c r="C18" s="50" t="str">
        <x:v>Tài khoản không có quyền truy cập Dashboard</x:v>
      </x:c>
      <x:c r="D18" s="50" t="str">
        <x:v>Có tài khoản bị giới hạn quyền.</x:v>
      </x:c>
      <x:c r="E18" s="50" t="str">
        <x:v>1. Đăng nhập bằng tài khoản không có quyền.
2. Truy cập trực tiếp URL Dashboard.</x:v>
      </x:c>
      <x:c r="F18" s="50" t="str">
        <x:v>Hệ thống chặn truy cập đúng quy định, không lộ dữ liệu.</x:v>
      </x:c>
      <x:c r="G18" s="50" t="str">
        <x:v>Critical</x:v>
      </x:c>
      <x:c r="H18" s="50" t="str">
        <x:v>P0</x:v>
      </x:c>
      <x:c r="I18" s="50" t="str">
        <x:v>Permission</x:v>
      </x:c>
      <x:c r="J18" s="50" t="str">
        <x:v>Need business requirement</x:v>
      </x:c>
      <x:c r="K18" s="50" t="str"/>
      <x:c r="L18" s="50" t="str">
        <x:v>Not Run</x:v>
      </x:c>
      <x:c r="M18" s="50" t="str"/>
      <x:c r="N18" s="50" t="str"/>
    </x:row>
    <x:row r="19" ht="72" customHeight="1">
      <x:c r="A19" s="50" t="str">
        <x:v>DLS-015</x:v>
      </x:c>
      <x:c r="B19" s="50" t="str">
        <x:v>Dashboard Load &amp; Session</x:v>
      </x:c>
      <x:c r="C19" s="50" t="str">
        <x:v>Không có lỗi JavaScript nghiêm trọng khi tải Dashboard</x:v>
      </x:c>
      <x:c r="D19" s="50" t="str">
        <x:v>Có tài khoản hợp lệ; đã đăng nhập CMS; nhóm Vua Thợ được phép truy cập. Đang ở trang Dashboard.</x:v>
      </x:c>
      <x:c r="E19" s="50" t="str">
        <x:v>1. Mở DevTools log hoặc browser log qua WebDriver.
2. Tải Dashboard và thao tác các control chính.
3. Thu thập SEVERE console entries.</x:v>
      </x:c>
      <x:c r="F19" s="50" t="str">
        <x:v>Không có lỗi JavaScript nghiêm trọng làm hỏng chức năng.</x:v>
      </x:c>
      <x:c r="G19" s="50" t="str">
        <x:v>High</x:v>
      </x:c>
      <x:c r="H19" s="50" t="str">
        <x:v>P1</x:v>
      </x:c>
      <x:c r="I19" s="50" t="str">
        <x:v>Recovery</x:v>
      </x:c>
      <x:c r="J19" s="50" t="str">
        <x:v>Automate</x:v>
      </x:c>
      <x:c r="K19" s="50" t="str"/>
      <x:c r="L19" s="50" t="str">
        <x:v>Not Run</x:v>
      </x:c>
      <x:c r="M19" s="50" t="str"/>
      <x:c r="N19" s="50" t="str"/>
    </x:row>
  </x:sheetData>
  <x:mergeCells>
    <x:mergeCell ref="A1:N1"/>
    <x:mergeCell ref="A2:N2"/>
  </x:mergeCells>
  <x:conditionalFormatting sqref="L5:L19">
    <x:cfRule type="expression" dxfId="9" priority="1">
      <x:formula>L5="Pass"</x:formula>
    </x:cfRule>
    <x:cfRule type="expression" dxfId="10" priority="2">
      <x:formula>L5="Fail"</x:formula>
    </x:cfRule>
    <x:cfRule type="expression" dxfId="11" priority="3">
      <x:formula>L5="Blocked"</x:formula>
    </x:cfRule>
    <x:cfRule type="expression" dxfId="12" priority="4">
      <x:formula>L5="Skipped"</x:formula>
    </x:cfRule>
    <x:cfRule type="expression" dxfId="13" priority="5">
      <x:formula>L5="Not Run"</x:formula>
    </x:cfRule>
  </x:conditionalFormatting>
  <x:conditionalFormatting sqref="G5:G19">
    <x:cfRule type="expression" dxfId="14" priority="6">
      <x:formula>G5="Critical"</x:formula>
    </x:cfRule>
    <x:cfRule type="expression" dxfId="15" priority="7">
      <x:formula>G5="High"</x:formula>
    </x:cfRule>
    <x:cfRule type="expression" dxfId="16" priority="8">
      <x:formula>G5="Medium"</x:formula>
    </x:cfRule>
    <x:cfRule type="expression" dxfId="17" priority="9">
      <x:formula>G5="Low"</x:formula>
    </x:cfRule>
  </x:conditionalFormatting>
  <x:dataValidations count="5">
    <x:dataValidation type="list" sqref="G5:G19">
      <x:formula1>"Critical,High,Medium,Low"</x:formula1>
    </x:dataValidation>
    <x:dataValidation type="list" sqref="H5:H19">
      <x:formula1>"P0,P1,P2,P3"</x:formula1>
    </x:dataValidation>
    <x:dataValidation type="list" sqref="I5:I19">
      <x:formula1>"Functional,UI,Navigation,Validation,Negative,Boundary,Data Integrity,Download,Session,Permission,Responsive,Accessibility,Recovery,Security"</x:formula1>
    </x:dataValidation>
    <x:dataValidation type="list" sqref="J5:J19">
      <x:formula1>"Automate,Need more DOM,Need API/Database,Need business requirement,Need API/Network simulation,Manual"</x:formula1>
    </x:dataValidation>
    <x:dataValidation type="list" sqref="L5:L19">
      <x:formula1>"Not Run,Pass,Fail,Blocked,Skipped"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234d2c29ff46f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42" hidden="0" customWidth="1"/>
    <x:col min="4" max="4" width="38" hidden="0" customWidth="1"/>
    <x:col min="5" max="5" width="55" hidden="0" customWidth="1"/>
    <x:col min="6" max="6" width="55" hidden="0" customWidth="1"/>
    <x:col min="7" max="7" width="11" hidden="0" customWidth="1"/>
    <x:col min="8" max="8" width="9" hidden="0" customWidth="1"/>
    <x:col min="9" max="9" width="18" hidden="0" customWidth="1"/>
    <x:col min="10" max="10" width="24" hidden="0" customWidth="1"/>
    <x:col min="11" max="11" width="38" hidden="0" customWidth="1"/>
    <x:col min="12" max="12" width="12" hidden="0" customWidth="1"/>
    <x:col min="13" max="13" width="16" hidden="0" customWidth="1"/>
    <x:col min="14" max="14" width="36" hidden="0" customWidth="1"/>
  </x:cols>
  <x:sheetData>
    <x:row r="1" ht="30" customHeight="1">
      <x:c r="A1" s="5" t="str">
        <x:v>HEADER &amp; COMMON WIDGETS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3" t="str">
        <x:v>15 testcase thuộc module Header &amp; Common Widgets.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2" customHeight="1">
      <x:c r="A4" s="45" t="str">
        <x:v>Test Case ID</x:v>
      </x:c>
      <x:c r="B4" s="45" t="str">
        <x:v>Module</x:v>
      </x:c>
      <x:c r="C4" s="45" t="str">
        <x:v>Test Scenario</x:v>
      </x:c>
      <x:c r="D4" s="45" t="str">
        <x:v>Precondition</x:v>
      </x:c>
      <x:c r="E4" s="45" t="str">
        <x:v>Test Steps</x:v>
      </x:c>
      <x:c r="F4" s="45" t="str">
        <x:v>Expected Result</x:v>
      </x:c>
      <x:c r="G4" s="45" t="str">
        <x:v>Severity</x:v>
      </x:c>
      <x:c r="H4" s="45" t="str">
        <x:v>Priority</x:v>
      </x:c>
      <x:c r="I4" s="45" t="str">
        <x:v>Test Type</x:v>
      </x:c>
      <x:c r="J4" s="45" t="str">
        <x:v>Automation Feasibility</x:v>
      </x:c>
      <x:c r="K4" s="45" t="str">
        <x:v>Actual Result</x:v>
      </x:c>
      <x:c r="L4" s="45" t="str">
        <x:v>Status</x:v>
      </x:c>
      <x:c r="M4" s="45" t="str">
        <x:v>Tester</x:v>
      </x:c>
      <x:c r="N4" s="45" t="str">
        <x:v>Notes / DOM Evidence</x:v>
      </x:c>
    </x:row>
    <x:row r="5" ht="72" customHeight="1">
      <x:c r="A5" s="50" t="str">
        <x:v>HCW-001</x:v>
      </x:c>
      <x:c r="B5" s="50" t="str">
        <x:v>Header &amp; Common Widgets</x:v>
      </x:c>
      <x:c r="C5" s="50" t="str">
        <x:v>Hiển thị thông tin tài khoản trên header</x:v>
      </x:c>
      <x:c r="D5" s="50" t="str">
        <x:v>Có tài khoản hợp lệ; đã đăng nhập CMS; nhóm Vua Thợ được phép truy cập. Đang ở trang Dashboard.</x:v>
      </x:c>
      <x:c r="E5" s="50" t="str">
        <x:v>1. Quan sát khu vực tài khoản bên phải header.
2. Đọc tên người dùng và thông tin môi trường/vai trò.</x:v>
      </x:c>
      <x:c r="F5" s="50" t="str">
        <x:v>Tên người dùng và thông tin môi trường/vai trò hiển thị, không rỗng, không tràn layout.</x:v>
      </x:c>
      <x:c r="G5" s="50" t="str">
        <x:v>Medium</x:v>
      </x:c>
      <x:c r="H5" s="50" t="str">
        <x:v>P2</x:v>
      </x:c>
      <x:c r="I5" s="50" t="str">
        <x:v>UI</x:v>
      </x:c>
      <x:c r="J5" s="50" t="str">
        <x:v>Automate</x:v>
      </x:c>
      <x:c r="K5" s="50" t="str"/>
      <x:c r="L5" s="50" t="str">
        <x:v>Not Run</x:v>
      </x:c>
      <x:c r="M5" s="50" t="str"/>
      <x:c r="N5" s="50" t="str"/>
    </x:row>
    <x:row r="6" ht="72" customHeight="1">
      <x:c r="A6" s="50" t="str">
        <x:v>HCW-002</x:v>
      </x:c>
      <x:c r="B6" s="50" t="str">
        <x:v>Header &amp; Common Widgets</x:v>
      </x:c>
      <x:c r="C6" s="50" t="str">
        <x:v>Nút Đăng xuất hiển thị và có thể thao tác</x:v>
      </x:c>
      <x:c r="D6" s="50" t="str">
        <x:v>Có tài khoản hợp lệ; đã đăng nhập CMS; nhóm Vua Thợ được phép truy cập. Đang ở trang Dashboard.</x:v>
      </x:c>
      <x:c r="E6" s="50" t="str">
        <x:v>1. Tìm button title='Đăng xuất'.
2. Kiểm tra displayed, enabled và focus bằng bàn phím.</x:v>
      </x:c>
      <x:c r="F6" s="50" t="str">
        <x:v>Nút hiển thị, enabled và nhận focus.</x:v>
      </x:c>
      <x:c r="G6" s="50" t="str">
        <x:v>High</x:v>
      </x:c>
      <x:c r="H6" s="50" t="str">
        <x:v>P1</x:v>
      </x:c>
      <x:c r="I6" s="50" t="str">
        <x:v>UI</x:v>
      </x:c>
      <x:c r="J6" s="50" t="str">
        <x:v>Automate</x:v>
      </x:c>
      <x:c r="K6" s="50" t="str"/>
      <x:c r="L6" s="50" t="str">
        <x:v>Not Run</x:v>
      </x:c>
      <x:c r="M6" s="50" t="str"/>
      <x:c r="N6" s="50" t="str"/>
    </x:row>
    <x:row r="7" ht="72" customHeight="1">
      <x:c r="A7" s="50" t="str">
        <x:v>HCW-003</x:v>
      </x:c>
      <x:c r="B7" s="50" t="str">
        <x:v>Header &amp; Common Widgets</x:v>
      </x:c>
      <x:c r="C7" s="50" t="str">
        <x:v>Đăng xuất thành công</x:v>
      </x:c>
      <x:c r="D7" s="50" t="str">
        <x:v>Có tài khoản hợp lệ; đã đăng nhập CMS; nhóm Vua Thợ được phép truy cập. Đang ở trang Dashboard. Có thể đăng nhập lại sau test.</x:v>
      </x:c>
      <x:c r="E7" s="50" t="str">
        <x:v>1. Click nút Đăng xuất.
2. Chờ điều hướng.
3. Kiểm tra trang đích và session.</x:v>
      </x:c>
      <x:c r="F7" s="50" t="str">
        <x:v>Chuyển về màn hình đăng nhập/đích quy định; session bị hủy.</x:v>
      </x:c>
      <x:c r="G7" s="50" t="str">
        <x:v>Critical</x:v>
      </x:c>
      <x:c r="H7" s="50" t="str">
        <x:v>P0</x:v>
      </x:c>
      <x:c r="I7" s="50" t="str">
        <x:v>Functional</x:v>
      </x:c>
      <x:c r="J7" s="50" t="str">
        <x:v>Automate</x:v>
      </x:c>
      <x:c r="K7" s="50" t="str"/>
      <x:c r="L7" s="50" t="str">
        <x:v>Not Run</x:v>
      </x:c>
      <x:c r="M7" s="50" t="str"/>
      <x:c r="N7" s="50" t="str"/>
    </x:row>
    <x:row r="8" ht="72" customHeight="1">
      <x:c r="A8" s="50" t="str">
        <x:v>HCW-004</x:v>
      </x:c>
      <x:c r="B8" s="50" t="str">
        <x:v>Header &amp; Common Widgets</x:v>
      </x:c>
      <x:c r="C8" s="50" t="str">
        <x:v>Không truy cập Dashboard bằng Back sau khi logout</x:v>
      </x:c>
      <x:c r="D8" s="50" t="str">
        <x:v>Đã thực hiện đăng xuất.</x:v>
      </x:c>
      <x:c r="E8" s="50" t="str">
        <x:v>1. Nhấn Back trên trình duyệt.
2. Thử refresh Dashboard nếu nội dung cache xuất hiện.</x:v>
      </x:c>
      <x:c r="F8" s="50" t="str">
        <x:v>Không truy cập lại dữ liệu bảo vệ; phải yêu cầu đăng nhập.</x:v>
      </x:c>
      <x:c r="G8" s="50" t="str">
        <x:v>Critical</x:v>
      </x:c>
      <x:c r="H8" s="50" t="str">
        <x:v>P0</x:v>
      </x:c>
      <x:c r="I8" s="50" t="str">
        <x:v>Session</x:v>
      </x:c>
      <x:c r="J8" s="50" t="str">
        <x:v>Automate</x:v>
      </x:c>
      <x:c r="K8" s="50" t="str"/>
      <x:c r="L8" s="50" t="str">
        <x:v>Not Run</x:v>
      </x:c>
      <x:c r="M8" s="50" t="str"/>
      <x:c r="N8" s="50" t="str"/>
    </x:row>
    <x:row r="9" ht="72" customHeight="1">
      <x:c r="A9" s="50" t="str">
        <x:v>HCW-005</x:v>
      </x:c>
      <x:c r="B9" s="50" t="str">
        <x:v>Header &amp; Common Widgets</x:v>
      </x:c>
      <x:c r="C9" s="50" t="str">
        <x:v>Hiển thị khu vực Tin tức nổi bật</x:v>
      </x:c>
      <x:c r="D9" s="50" t="str">
        <x:v>Có tài khoản hợp lệ; đã đăng nhập CMS; nhóm Vua Thợ được phép truy cập. Đang ở trang Dashboard.</x:v>
      </x:c>
      <x:c r="E9" s="50" t="str">
        <x:v>1. Quan sát thanh tin tức dưới header.
2. Đọc nhãn và nội dung tin.</x:v>
      </x:c>
      <x:c r="F9" s="50" t="str">
        <x:v>Nhãn “Tin tức nổi bật:” và ít nhất một nội dung tin hiển thị.</x:v>
      </x:c>
      <x:c r="G9" s="50" t="str">
        <x:v>Low</x:v>
      </x:c>
      <x:c r="H9" s="50" t="str">
        <x:v>P3</x:v>
      </x:c>
      <x:c r="I9" s="50" t="str">
        <x:v>UI</x:v>
      </x:c>
      <x:c r="J9" s="50" t="str">
        <x:v>Automate</x:v>
      </x:c>
      <x:c r="K9" s="50" t="str"/>
      <x:c r="L9" s="50" t="str">
        <x:v>Not Run</x:v>
      </x:c>
      <x:c r="M9" s="50" t="str"/>
      <x:c r="N9" s="50" t="str"/>
    </x:row>
    <x:row r="10" ht="72" customHeight="1">
      <x:c r="A10" s="50" t="str">
        <x:v>HCW-006</x:v>
      </x:c>
      <x:c r="B10" s="50" t="str">
        <x:v>Header &amp; Common Widgets</x:v>
      </x:c>
      <x:c r="C10" s="50" t="str">
        <x:v>Link tin giao dịch điều hướng đúng</x:v>
      </x:c>
      <x:c r="D10" s="50" t="str">
        <x:v>Có tài khoản hợp lệ; đã đăng nhập CMS; nhóm Vua Thợ được phép truy cập. Đang ở trang Dashboard.</x:v>
      </x:c>
      <x:c r="E10" s="50" t="str">
        <x:v>1. Click nội dung tin “giao dịch mới”.
2. Chờ URL thay đổi.
3. Kiểm tra trang đích.</x:v>
      </x:c>
      <x:c r="F10" s="50" t="str">
        <x:v>Điều hướng đến /vuatho/transaction; trang đích tải thành công.</x:v>
      </x:c>
      <x:c r="G10" s="50" t="str">
        <x:v>Medium</x:v>
      </x:c>
      <x:c r="H10" s="50" t="str">
        <x:v>P2</x:v>
      </x:c>
      <x:c r="I10" s="50" t="str">
        <x:v>Navigation</x:v>
      </x:c>
      <x:c r="J10" s="50" t="str">
        <x:v>Automate</x:v>
      </x:c>
      <x:c r="K10" s="50" t="str"/>
      <x:c r="L10" s="50" t="str">
        <x:v>Not Run</x:v>
      </x:c>
      <x:c r="M10" s="50" t="str"/>
      <x:c r="N10" s="50" t="str">
        <x:v>DOM có href='/vuatho/transaction'.</x:v>
      </x:c>
    </x:row>
    <x:row r="11" ht="72" customHeight="1">
      <x:c r="A11" s="50" t="str">
        <x:v>HCW-007</x:v>
      </x:c>
      <x:c r="B11" s="50" t="str">
        <x:v>Header &amp; Common Widgets</x:v>
      </x:c>
      <x:c r="C11" s="50" t="str">
        <x:v>Marquee không tạo nhiều link trùng trong automation</x:v>
      </x:c>
      <x:c r="D11" s="50" t="str">
        <x:v>Có tài khoản hợp lệ; đã đăng nhập CMS; nhóm Vua Thợ được phép truy cập. Đang ở trang Dashboard.</x:v>
      </x:c>
      <x:c r="E11" s="50" t="str">
        <x:v>1. Lấy các link tin tức đang displayed.
2. Loại trùng theo text + href.
3. Click một link duy nhất.</x:v>
      </x:c>
      <x:c r="F11" s="50" t="str">
        <x:v>Automation chỉ thao tác một bản hiển thị; không click các clone phục vụ animation.</x:v>
      </x:c>
      <x:c r="G11" s="50" t="str">
        <x:v>Medium</x:v>
      </x:c>
      <x:c r="H11" s="50" t="str">
        <x:v>P2</x:v>
      </x:c>
      <x:c r="I11" s="50" t="str">
        <x:v>Functional</x:v>
      </x:c>
      <x:c r="J11" s="50" t="str">
        <x:v>Automate</x:v>
      </x:c>
      <x:c r="K11" s="50" t="str"/>
      <x:c r="L11" s="50" t="str">
        <x:v>Not Run</x:v>
      </x:c>
      <x:c r="M11" s="50" t="str"/>
      <x:c r="N11" s="50" t="str"/>
    </x:row>
    <x:row r="12" ht="72" customHeight="1">
      <x:c r="A12" s="50" t="str">
        <x:v>HCW-008</x:v>
      </x:c>
      <x:c r="B12" s="50" t="str">
        <x:v>Header &amp; Common Widgets</x:v>
      </x:c>
      <x:c r="C12" s="50" t="str">
        <x:v>Header giữ cố định khi cuộn trang</x:v>
      </x:c>
      <x:c r="D12" s="50" t="str">
        <x:v>Có tài khoản hợp lệ; đã đăng nhập CMS; nhóm Vua Thợ được phép truy cập. Đang ở trang Dashboard.</x:v>
      </x:c>
      <x:c r="E12" s="50" t="str">
        <x:v>1. Cuộn xuống section cuối.
2. Kiểm tra vị trí header.
3. Cuộn lên đầu.</x:v>
      </x:c>
      <x:c r="F12" s="50" t="str">
        <x:v>Header vẫn hiển thị đúng theo thiết kế sticky; không che control chính.</x:v>
      </x:c>
      <x:c r="G12" s="50" t="str">
        <x:v>Low</x:v>
      </x:c>
      <x:c r="H12" s="50" t="str">
        <x:v>P3</x:v>
      </x:c>
      <x:c r="I12" s="50" t="str">
        <x:v>UI</x:v>
      </x:c>
      <x:c r="J12" s="50" t="str">
        <x:v>Automate</x:v>
      </x:c>
      <x:c r="K12" s="50" t="str"/>
      <x:c r="L12" s="50" t="str">
        <x:v>Not Run</x:v>
      </x:c>
      <x:c r="M12" s="50" t="str"/>
      <x:c r="N12" s="50" t="str"/>
    </x:row>
    <x:row r="13" ht="72" customHeight="1">
      <x:c r="A13" s="50" t="str">
        <x:v>HCW-009</x:v>
      </x:c>
      <x:c r="B13" s="50" t="str">
        <x:v>Header &amp; Common Widgets</x:v>
      </x:c>
      <x:c r="C13" s="50" t="str">
        <x:v>Logo điều hướng về trang gốc</x:v>
      </x:c>
      <x:c r="D13" s="50" t="str">
        <x:v>Có tài khoản hợp lệ; đã đăng nhập CMS; nhóm Vua Thợ được phép truy cập. Đang ở trang Dashboard.</x:v>
      </x:c>
      <x:c r="E13" s="50" t="str">
        <x:v>1. Click logo ở sidebar/header.
2. Chờ điều hướng.</x:v>
      </x:c>
      <x:c r="F13" s="50" t="str">
        <x:v>Điều hướng đến đường dẫn '/' hoặc trang gốc theo cấu hình.</x:v>
      </x:c>
      <x:c r="G13" s="50" t="str">
        <x:v>Medium</x:v>
      </x:c>
      <x:c r="H13" s="50" t="str">
        <x:v>P2</x:v>
      </x:c>
      <x:c r="I13" s="50" t="str">
        <x:v>Navigation</x:v>
      </x:c>
      <x:c r="J13" s="50" t="str">
        <x:v>Automate</x:v>
      </x:c>
      <x:c r="K13" s="50" t="str"/>
      <x:c r="L13" s="50" t="str">
        <x:v>Not Run</x:v>
      </x:c>
      <x:c r="M13" s="50" t="str"/>
      <x:c r="N13" s="50" t="str">
        <x:v>DOM có link logo href='/'.</x:v>
      </x:c>
    </x:row>
    <x:row r="14" ht="72" customHeight="1">
      <x:c r="A14" s="50" t="str">
        <x:v>HCW-010</x:v>
      </x:c>
      <x:c r="B14" s="50" t="str">
        <x:v>Header &amp; Common Widgets</x:v>
      </x:c>
      <x:c r="C14" s="50" t="str">
        <x:v>Widget tổng đài hiển thị</x:v>
      </x:c>
      <x:c r="D14" s="50" t="str">
        <x:v>Có tài khoản hợp lệ; đã đăng nhập CMS; nhóm Vua Thợ được phép truy cập. Đang ở trang Dashboard.</x:v>
      </x:c>
      <x:c r="E14" s="50" t="str">
        <x:v>1. Tìm button aria-label='Mở tổng đài'.
2. Kiểm tra icon, status dot và badge.</x:v>
      </x:c>
      <x:c r="F14" s="50" t="str">
        <x:v>Widget hiển thị nổi; icon và trạng thái không bị vỡ.</x:v>
      </x:c>
      <x:c r="G14" s="50" t="str">
        <x:v>Medium</x:v>
      </x:c>
      <x:c r="H14" s="50" t="str">
        <x:v>P2</x:v>
      </x:c>
      <x:c r="I14" s="50" t="str">
        <x:v>UI</x:v>
      </x:c>
      <x:c r="J14" s="50" t="str">
        <x:v>Automate</x:v>
      </x:c>
      <x:c r="K14" s="50" t="str"/>
      <x:c r="L14" s="50" t="str">
        <x:v>Not Run</x:v>
      </x:c>
      <x:c r="M14" s="50" t="str"/>
      <x:c r="N14" s="50" t="str"/>
    </x:row>
    <x:row r="15" ht="72" customHeight="1">
      <x:c r="A15" s="50" t="str">
        <x:v>HCW-011</x:v>
      </x:c>
      <x:c r="B15" s="50" t="str">
        <x:v>Header &amp; Common Widgets</x:v>
      </x:c>
      <x:c r="C15" s="50" t="str">
        <x:v>Mở tổng đài</x:v>
      </x:c>
      <x:c r="D15" s="50" t="str">
        <x:v>Có tài khoản hợp lệ; đã đăng nhập CMS; nhóm Vua Thợ được phép truy cập. Đang ở trang Dashboard.</x:v>
      </x:c>
      <x:c r="E15" s="50" t="str">
        <x:v>1. Click widget tổng đài.
2. Chờ panel/modal tổng đài xuất hiện.</x:v>
      </x:c>
      <x:c r="F15" s="50" t="str">
        <x:v>Tổng đài mở đúng một lần; panel không bị trùng.</x:v>
      </x:c>
      <x:c r="G15" s="50" t="str">
        <x:v>High</x:v>
      </x:c>
      <x:c r="H15" s="50" t="str">
        <x:v>P1</x:v>
      </x:c>
      <x:c r="I15" s="50" t="str">
        <x:v>Functional</x:v>
      </x:c>
      <x:c r="J15" s="50" t="str">
        <x:v>Need more DOM</x:v>
      </x:c>
      <x:c r="K15" s="50" t="str"/>
      <x:c r="L15" s="50" t="str">
        <x:v>Not Run</x:v>
      </x:c>
      <x:c r="M15" s="50" t="str"/>
      <x:c r="N15" s="50" t="str"/>
    </x:row>
    <x:row r="16" ht="72" customHeight="1">
      <x:c r="A16" s="50" t="str">
        <x:v>HCW-012</x:v>
      </x:c>
      <x:c r="B16" s="50" t="str">
        <x:v>Header &amp; Common Widgets</x:v>
      </x:c>
      <x:c r="C16" s="50" t="str">
        <x:v>Kéo thả widget tổng đài</x:v>
      </x:c>
      <x:c r="D16" s="50" t="str">
        <x:v>Có tài khoản hợp lệ; đã đăng nhập CMS; nhóm Vua Thợ được phép truy cập. Đang ở trang Dashboard.</x:v>
      </x:c>
      <x:c r="E16" s="50" t="str">
        <x:v>1. Kéo widget đến vị trí khác trong viewport.
2. Thả chuột.
3. Thực hiện click mở.</x:v>
      </x:c>
      <x:c r="F16" s="50" t="str">
        <x:v>Widget di chuyển trong giới hạn màn hình và vẫn click được.</x:v>
      </x:c>
      <x:c r="G16" s="50" t="str">
        <x:v>Medium</x:v>
      </x:c>
      <x:c r="H16" s="50" t="str">
        <x:v>P2</x:v>
      </x:c>
      <x:c r="I16" s="50" t="str">
        <x:v>Functional</x:v>
      </x:c>
      <x:c r="J16" s="50" t="str">
        <x:v>Automate</x:v>
      </x:c>
      <x:c r="K16" s="50" t="str"/>
      <x:c r="L16" s="50" t="str">
        <x:v>Not Run</x:v>
      </x:c>
      <x:c r="M16" s="50" t="str"/>
      <x:c r="N16" s="50" t="str"/>
    </x:row>
    <x:row r="17" ht="72" customHeight="1">
      <x:c r="A17" s="50" t="str">
        <x:v>HCW-013</x:v>
      </x:c>
      <x:c r="B17" s="50" t="str">
        <x:v>Header &amp; Common Widgets</x:v>
      </x:c>
      <x:c r="C17" s="50" t="str">
        <x:v>Badge tổng đài là số hợp lệ</x:v>
      </x:c>
      <x:c r="D17" s="50" t="str">
        <x:v>Có tài khoản hợp lệ; đã đăng nhập CMS; nhóm Vua Thợ được phép truy cập. Đang ở trang Dashboard.</x:v>
      </x:c>
      <x:c r="E17" s="50" t="str">
        <x:v>1. Đọc text badge trên widget.
2. Parse giá trị.</x:v>
      </x:c>
      <x:c r="F17" s="50" t="str">
        <x:v>Badge là số nguyên không âm; không hiển thị NaN hoặc text lỗi.</x:v>
      </x:c>
      <x:c r="G17" s="50" t="str">
        <x:v>Low</x:v>
      </x:c>
      <x:c r="H17" s="50" t="str">
        <x:v>P3</x:v>
      </x:c>
      <x:c r="I17" s="50" t="str">
        <x:v>Validation</x:v>
      </x:c>
      <x:c r="J17" s="50" t="str">
        <x:v>Automate</x:v>
      </x:c>
      <x:c r="K17" s="50" t="str"/>
      <x:c r="L17" s="50" t="str">
        <x:v>Not Run</x:v>
      </x:c>
      <x:c r="M17" s="50" t="str"/>
      <x:c r="N17" s="50" t="str"/>
    </x:row>
    <x:row r="18" ht="72" customHeight="1">
      <x:c r="A18" s="50" t="str">
        <x:v>HCW-014</x:v>
      </x:c>
      <x:c r="B18" s="50" t="str">
        <x:v>Header &amp; Common Widgets</x:v>
      </x:c>
      <x:c r="C18" s="50" t="str">
        <x:v>Badge tổng đài với giá trị lớn</x:v>
      </x:c>
      <x:c r="D18" s="50" t="str">
        <x:v>Thực hiện trên môi trường test/staging với dữ liệu an toàn.</x:v>
      </x:c>
      <x:c r="E18" s="50" t="str">
        <x:v>1. Mock/chuẩn bị số lượng thông báo lớn.
2. Mở Dashboard.
3. Quan sát badge.</x:v>
      </x:c>
      <x:c r="F18" s="50" t="str">
        <x:v>Badge không làm vỡ widget; hiển thị theo quy ước như 99+ nếu có.</x:v>
      </x:c>
      <x:c r="G18" s="50" t="str">
        <x:v>Low</x:v>
      </x:c>
      <x:c r="H18" s="50" t="str">
        <x:v>P3</x:v>
      </x:c>
      <x:c r="I18" s="50" t="str">
        <x:v>Boundary</x:v>
      </x:c>
      <x:c r="J18" s="50" t="str">
        <x:v>Need API/Database</x:v>
      </x:c>
      <x:c r="K18" s="50" t="str"/>
      <x:c r="L18" s="50" t="str">
        <x:v>Not Run</x:v>
      </x:c>
      <x:c r="M18" s="50" t="str"/>
      <x:c r="N18" s="50" t="str"/>
    </x:row>
    <x:row r="19" ht="72" customHeight="1">
      <x:c r="A19" s="50" t="str">
        <x:v>HCW-015</x:v>
      </x:c>
      <x:c r="B19" s="50" t="str">
        <x:v>Header &amp; Common Widgets</x:v>
      </x:c>
      <x:c r="C19" s="50" t="str">
        <x:v>Widget tổng đài vẫn nằm trong viewport sau resize</x:v>
      </x:c>
      <x:c r="D19" s="50" t="str">
        <x:v>Có tài khoản hợp lệ; đã đăng nhập CMS; nhóm Vua Thợ được phép truy cập. Đang ở trang Dashboard.</x:v>
      </x:c>
      <x:c r="E19" s="50" t="str">
        <x:v>1. Resize cửa sổ qua các kích thước desktop/tablet.
2. Kiểm tra vị trí widget.</x:v>
      </x:c>
      <x:c r="F19" s="50" t="str">
        <x:v>Widget không bị mất khỏi viewport hoặc che control quan trọng.</x:v>
      </x:c>
      <x:c r="G19" s="50" t="str">
        <x:v>Medium</x:v>
      </x:c>
      <x:c r="H19" s="50" t="str">
        <x:v>P2</x:v>
      </x:c>
      <x:c r="I19" s="50" t="str">
        <x:v>Responsive</x:v>
      </x:c>
      <x:c r="J19" s="50" t="str">
        <x:v>Automate</x:v>
      </x:c>
      <x:c r="K19" s="50" t="str"/>
      <x:c r="L19" s="50" t="str">
        <x:v>Not Run</x:v>
      </x:c>
      <x:c r="M19" s="50" t="str"/>
      <x:c r="N19" s="50" t="str"/>
    </x:row>
  </x:sheetData>
  <x:mergeCells>
    <x:mergeCell ref="A1:N1"/>
    <x:mergeCell ref="A2:N2"/>
  </x:mergeCells>
  <x:conditionalFormatting sqref="L5:L19">
    <x:cfRule type="expression" dxfId="18" priority="1">
      <x:formula>L5="Pass"</x:formula>
    </x:cfRule>
    <x:cfRule type="expression" dxfId="19" priority="2">
      <x:formula>L5="Fail"</x:formula>
    </x:cfRule>
    <x:cfRule type="expression" dxfId="20" priority="3">
      <x:formula>L5="Blocked"</x:formula>
    </x:cfRule>
    <x:cfRule type="expression" dxfId="21" priority="4">
      <x:formula>L5="Skipped"</x:formula>
    </x:cfRule>
    <x:cfRule type="expression" dxfId="22" priority="5">
      <x:formula>L5="Not Run"</x:formula>
    </x:cfRule>
  </x:conditionalFormatting>
  <x:conditionalFormatting sqref="G5:G19">
    <x:cfRule type="expression" dxfId="23" priority="6">
      <x:formula>G5="Critical"</x:formula>
    </x:cfRule>
    <x:cfRule type="expression" dxfId="24" priority="7">
      <x:formula>G5="High"</x:formula>
    </x:cfRule>
    <x:cfRule type="expression" dxfId="25" priority="8">
      <x:formula>G5="Medium"</x:formula>
    </x:cfRule>
    <x:cfRule type="expression" dxfId="26" priority="9">
      <x:formula>G5="Low"</x:formula>
    </x:cfRule>
  </x:conditionalFormatting>
  <x:dataValidations count="5">
    <x:dataValidation type="list" sqref="G5:G19">
      <x:formula1>"Critical,High,Medium,Low"</x:formula1>
    </x:dataValidation>
    <x:dataValidation type="list" sqref="H5:H19">
      <x:formula1>"P0,P1,P2,P3"</x:formula1>
    </x:dataValidation>
    <x:dataValidation type="list" sqref="I5:I19">
      <x:formula1>"Functional,UI,Navigation,Validation,Negative,Boundary,Data Integrity,Download,Session,Permission,Responsive,Accessibility,Recovery,Security"</x:formula1>
    </x:dataValidation>
    <x:dataValidation type="list" sqref="J5:J19">
      <x:formula1>"Automate,Need more DOM,Need API/Database,Need business requirement,Need API/Network simulation,Manual"</x:formula1>
    </x:dataValidation>
    <x:dataValidation type="list" sqref="L5:L19">
      <x:formula1>"Not Run,Pass,Fail,Blocked,Skipped"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5a35151e33464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42" hidden="0" customWidth="1"/>
    <x:col min="4" max="4" width="38" hidden="0" customWidth="1"/>
    <x:col min="5" max="5" width="55" hidden="0" customWidth="1"/>
    <x:col min="6" max="6" width="55" hidden="0" customWidth="1"/>
    <x:col min="7" max="7" width="11" hidden="0" customWidth="1"/>
    <x:col min="8" max="8" width="9" hidden="0" customWidth="1"/>
    <x:col min="9" max="9" width="18" hidden="0" customWidth="1"/>
    <x:col min="10" max="10" width="24" hidden="0" customWidth="1"/>
    <x:col min="11" max="11" width="38" hidden="0" customWidth="1"/>
    <x:col min="12" max="12" width="12" hidden="0" customWidth="1"/>
    <x:col min="13" max="13" width="16" hidden="0" customWidth="1"/>
    <x:col min="14" max="14" width="36" hidden="0" customWidth="1"/>
  </x:cols>
  <x:sheetData>
    <x:row r="1" ht="30" customHeight="1">
      <x:c r="A1" s="5" t="str">
        <x:v>SIDEBAR &amp; MENU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3" t="str">
        <x:v>40 testcase thuộc module Sidebar &amp; Menu.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2" customHeight="1">
      <x:c r="A4" s="45" t="str">
        <x:v>Test Case ID</x:v>
      </x:c>
      <x:c r="B4" s="45" t="str">
        <x:v>Module</x:v>
      </x:c>
      <x:c r="C4" s="45" t="str">
        <x:v>Test Scenario</x:v>
      </x:c>
      <x:c r="D4" s="45" t="str">
        <x:v>Precondition</x:v>
      </x:c>
      <x:c r="E4" s="45" t="str">
        <x:v>Test Steps</x:v>
      </x:c>
      <x:c r="F4" s="45" t="str">
        <x:v>Expected Result</x:v>
      </x:c>
      <x:c r="G4" s="45" t="str">
        <x:v>Severity</x:v>
      </x:c>
      <x:c r="H4" s="45" t="str">
        <x:v>Priority</x:v>
      </x:c>
      <x:c r="I4" s="45" t="str">
        <x:v>Test Type</x:v>
      </x:c>
      <x:c r="J4" s="45" t="str">
        <x:v>Automation Feasibility</x:v>
      </x:c>
      <x:c r="K4" s="45" t="str">
        <x:v>Actual Result</x:v>
      </x:c>
      <x:c r="L4" s="45" t="str">
        <x:v>Status</x:v>
      </x:c>
      <x:c r="M4" s="45" t="str">
        <x:v>Tester</x:v>
      </x:c>
      <x:c r="N4" s="45" t="str">
        <x:v>Notes / DOM Evidence</x:v>
      </x:c>
    </x:row>
    <x:row r="5" ht="72" customHeight="1">
      <x:c r="A5" s="50" t="str">
        <x:v>SBM-001</x:v>
      </x:c>
      <x:c r="B5" s="50" t="str">
        <x:v>Sidebar &amp; Menu</x:v>
      </x:c>
      <x:c r="C5" s="50" t="str">
        <x:v>Nhóm hệ thống Vua Thợ hiển thị và click được</x:v>
      </x:c>
      <x:c r="D5" s="50" t="str">
        <x:v>Có tài khoản hợp lệ; đã đăng nhập CMS; nhóm Vua Thợ được phép truy cập. Đang ở trang Dashboard.</x:v>
      </x:c>
      <x:c r="E5" s="50" t="str">
        <x:v>1. Tìm button có text “Vua Thợ”.
2. Kiểm tra displayed/enabled.
3. Click button.</x:v>
      </x:c>
      <x:c r="F5" s="50" t="str">
        <x:v>Button Vua Thợ hiển thị, click được và chuyển sang trạng thái active.</x:v>
      </x:c>
      <x:c r="G5" s="50" t="str">
        <x:v>High</x:v>
      </x:c>
      <x:c r="H5" s="50" t="str">
        <x:v>P1</x:v>
      </x:c>
      <x:c r="I5" s="50" t="str">
        <x:v>Navigation</x:v>
      </x:c>
      <x:c r="J5" s="50" t="str">
        <x:v>Automate</x:v>
      </x:c>
      <x:c r="K5" s="50" t="str"/>
      <x:c r="L5" s="50" t="str">
        <x:v>Not Run</x:v>
      </x:c>
      <x:c r="M5" s="50" t="str"/>
      <x:c r="N5" s="50" t="str"/>
    </x:row>
    <x:row r="6" ht="72" customHeight="1">
      <x:c r="A6" s="50" t="str">
        <x:v>SBM-002</x:v>
      </x:c>
      <x:c r="B6" s="50" t="str">
        <x:v>Sidebar &amp; Menu</x:v>
      </x:c>
      <x:c r="C6" s="50" t="str">
        <x:v>Nhóm hệ thống Operation hiển thị và click được</x:v>
      </x:c>
      <x:c r="D6" s="50" t="str">
        <x:v>Có tài khoản hợp lệ; đã đăng nhập CMS; nhóm Vua Thợ được phép truy cập. Đang ở trang Dashboard.</x:v>
      </x:c>
      <x:c r="E6" s="50" t="str">
        <x:v>1. Tìm button có text “Operation”.
2. Kiểm tra displayed/enabled.
3. Click button.</x:v>
      </x:c>
      <x:c r="F6" s="50" t="str">
        <x:v>Button Operation hiển thị, click được và chuyển sang trạng thái active.</x:v>
      </x:c>
      <x:c r="G6" s="50" t="str">
        <x:v>Medium</x:v>
      </x:c>
      <x:c r="H6" s="50" t="str">
        <x:v>P1</x:v>
      </x:c>
      <x:c r="I6" s="50" t="str">
        <x:v>Navigation</x:v>
      </x:c>
      <x:c r="J6" s="50" t="str">
        <x:v>Automate</x:v>
      </x:c>
      <x:c r="K6" s="50" t="str"/>
      <x:c r="L6" s="50" t="str">
        <x:v>Not Run</x:v>
      </x:c>
      <x:c r="M6" s="50" t="str"/>
      <x:c r="N6" s="50" t="str"/>
    </x:row>
    <x:row r="7" ht="72" customHeight="1">
      <x:c r="A7" s="50" t="str">
        <x:v>SBM-003</x:v>
      </x:c>
      <x:c r="B7" s="50" t="str">
        <x:v>Sidebar &amp; Menu</x:v>
      </x:c>
      <x:c r="C7" s="50" t="str">
        <x:v>Nhóm hệ thống Đối Tác hiển thị và click được</x:v>
      </x:c>
      <x:c r="D7" s="50" t="str">
        <x:v>Có tài khoản hợp lệ; đã đăng nhập CMS; nhóm Vua Thợ được phép truy cập. Đang ở trang Dashboard.</x:v>
      </x:c>
      <x:c r="E7" s="50" t="str">
        <x:v>1. Tìm button có text “Đối Tác”.
2. Kiểm tra displayed/enabled.
3. Click button.</x:v>
      </x:c>
      <x:c r="F7" s="50" t="str">
        <x:v>Button Đối Tác hiển thị, click được và chuyển sang trạng thái active.</x:v>
      </x:c>
      <x:c r="G7" s="50" t="str">
        <x:v>Medium</x:v>
      </x:c>
      <x:c r="H7" s="50" t="str">
        <x:v>P1</x:v>
      </x:c>
      <x:c r="I7" s="50" t="str">
        <x:v>Navigation</x:v>
      </x:c>
      <x:c r="J7" s="50" t="str">
        <x:v>Automate</x:v>
      </x:c>
      <x:c r="K7" s="50" t="str"/>
      <x:c r="L7" s="50" t="str">
        <x:v>Not Run</x:v>
      </x:c>
      <x:c r="M7" s="50" t="str"/>
      <x:c r="N7" s="50" t="str"/>
    </x:row>
    <x:row r="8" ht="72" customHeight="1">
      <x:c r="A8" s="50" t="str">
        <x:v>SBM-004</x:v>
      </x:c>
      <x:c r="B8" s="50" t="str">
        <x:v>Sidebar &amp; Menu</x:v>
      </x:c>
      <x:c r="C8" s="50" t="str">
        <x:v>Nhóm hệ thống CSKH hiển thị và click được</x:v>
      </x:c>
      <x:c r="D8" s="50" t="str">
        <x:v>Có tài khoản hợp lệ; đã đăng nhập CMS; nhóm Vua Thợ được phép truy cập. Đang ở trang Dashboard.</x:v>
      </x:c>
      <x:c r="E8" s="50" t="str">
        <x:v>1. Tìm button có text “CSKH”.
2. Kiểm tra displayed/enabled.
3. Click button.</x:v>
      </x:c>
      <x:c r="F8" s="50" t="str">
        <x:v>Button CSKH hiển thị, click được và chuyển sang trạng thái active.</x:v>
      </x:c>
      <x:c r="G8" s="50" t="str">
        <x:v>Medium</x:v>
      </x:c>
      <x:c r="H8" s="50" t="str">
        <x:v>P1</x:v>
      </x:c>
      <x:c r="I8" s="50" t="str">
        <x:v>Navigation</x:v>
      </x:c>
      <x:c r="J8" s="50" t="str">
        <x:v>Automate</x:v>
      </x:c>
      <x:c r="K8" s="50" t="str"/>
      <x:c r="L8" s="50" t="str">
        <x:v>Not Run</x:v>
      </x:c>
      <x:c r="M8" s="50" t="str"/>
      <x:c r="N8" s="50" t="str"/>
    </x:row>
    <x:row r="9" ht="72" customHeight="1">
      <x:c r="A9" s="50" t="str">
        <x:v>SBM-005</x:v>
      </x:c>
      <x:c r="B9" s="50" t="str">
        <x:v>Sidebar &amp; Menu</x:v>
      </x:c>
      <x:c r="C9" s="50" t="str">
        <x:v>Vua Thợ là nhóm active mặc định trên Dashboard</x:v>
      </x:c>
      <x:c r="D9" s="50" t="str">
        <x:v>Có tài khoản hợp lệ; đã đăng nhập CMS; nhóm Vua Thợ được phép truy cập. Đang ở trang Dashboard.</x:v>
      </x:c>
      <x:c r="E9" s="50" t="str">
        <x:v>1. Mở Dashboard.
2. Kiểm tra class/trạng thái của button Vua Thợ và các nhóm khác.</x:v>
      </x:c>
      <x:c r="F9" s="50" t="str">
        <x:v>Chỉ Vua Thợ ở trạng thái active mặc định.</x:v>
      </x:c>
      <x:c r="G9" s="50" t="str">
        <x:v>Medium</x:v>
      </x:c>
      <x:c r="H9" s="50" t="str">
        <x:v>P2</x:v>
      </x:c>
      <x:c r="I9" s="50" t="str">
        <x:v>UI</x:v>
      </x:c>
      <x:c r="J9" s="50" t="str">
        <x:v>Automate</x:v>
      </x:c>
      <x:c r="K9" s="50" t="str"/>
      <x:c r="L9" s="50" t="str">
        <x:v>Not Run</x:v>
      </x:c>
      <x:c r="M9" s="50" t="str"/>
      <x:c r="N9" s="50" t="str"/>
    </x:row>
    <x:row r="10" ht="72" customHeight="1">
      <x:c r="A10" s="50" t="str">
        <x:v>SBM-006</x:v>
      </x:c>
      <x:c r="B10" s="50" t="str">
        <x:v>Sidebar &amp; Menu</x:v>
      </x:c>
      <x:c r="C10" s="50" t="str">
        <x:v>Chuyển nhóm rồi quay lại Vua Thợ</x:v>
      </x:c>
      <x:c r="D10" s="50" t="str">
        <x:v>Có tài khoản hợp lệ; đã đăng nhập CMS; nhóm Vua Thợ được phép truy cập. Đang ở trang Dashboard.</x:v>
      </x:c>
      <x:c r="E10" s="50" t="str">
        <x:v>1. Click Operation.
2. Click Vua Thợ.
3. Kiểm tra menu.</x:v>
      </x:c>
      <x:c r="F10" s="50" t="str">
        <x:v>Menu Vua Thợ hiển thị lại đúng; active state không bị kẹt.</x:v>
      </x:c>
      <x:c r="G10" s="50" t="str">
        <x:v>High</x:v>
      </x:c>
      <x:c r="H10" s="50" t="str">
        <x:v>P1</x:v>
      </x:c>
      <x:c r="I10" s="50" t="str">
        <x:v>Navigation</x:v>
      </x:c>
      <x:c r="J10" s="50" t="str">
        <x:v>Automate</x:v>
      </x:c>
      <x:c r="K10" s="50" t="str"/>
      <x:c r="L10" s="50" t="str">
        <x:v>Not Run</x:v>
      </x:c>
      <x:c r="M10" s="50" t="str"/>
      <x:c r="N10" s="50" t="str"/>
    </x:row>
    <x:row r="11" ht="72" customHeight="1">
      <x:c r="A11" s="50" t="str">
        <x:v>SBM-007</x:v>
      </x:c>
      <x:c r="B11" s="50" t="str">
        <x:v>Sidebar &amp; Menu</x:v>
      </x:c>
      <x:c r="C11" s="50" t="str">
        <x:v>Thu gọn sidebar</x:v>
      </x:c>
      <x:c r="D11" s="50" t="str">
        <x:v>Có tài khoản hợp lệ; đã đăng nhập CMS; nhóm Vua Thợ được phép truy cập. Đang ở trang Dashboard.</x:v>
      </x:c>
      <x:c r="E11" s="50" t="str">
        <x:v>1. Click nút thu gọn sidebar.
2. Chờ animation kết thúc.
3. Kiểm tra chiều rộng và nội dung main.</x:v>
      </x:c>
      <x:c r="F11" s="50" t="str">
        <x:v>Sidebar thu gọn; main content mở rộng tương ứng; không che nội dung.</x:v>
      </x:c>
      <x:c r="G11" s="50" t="str">
        <x:v>Medium</x:v>
      </x:c>
      <x:c r="H11" s="50" t="str">
        <x:v>P2</x:v>
      </x:c>
      <x:c r="I11" s="50" t="str">
        <x:v>UI</x:v>
      </x:c>
      <x:c r="J11" s="50" t="str">
        <x:v>Automate</x:v>
      </x:c>
      <x:c r="K11" s="50" t="str"/>
      <x:c r="L11" s="50" t="str">
        <x:v>Not Run</x:v>
      </x:c>
      <x:c r="M11" s="50" t="str"/>
      <x:c r="N11" s="50" t="str">
        <x:v>Nút chưa có title/aria-label ổn định; nên bổ sung data-testid.</x:v>
      </x:c>
    </x:row>
    <x:row r="12" ht="72" customHeight="1">
      <x:c r="A12" s="50" t="str">
        <x:v>SBM-008</x:v>
      </x:c>
      <x:c r="B12" s="50" t="str">
        <x:v>Sidebar &amp; Menu</x:v>
      </x:c>
      <x:c r="C12" s="50" t="str">
        <x:v>Mở rộng sidebar sau khi thu gọn</x:v>
      </x:c>
      <x:c r="D12" s="50" t="str">
        <x:v>Có tài khoản hợp lệ; đã đăng nhập CMS; nhóm Vua Thợ được phép truy cập. Đang ở trang Dashboard.</x:v>
      </x:c>
      <x:c r="E12" s="50" t="str">
        <x:v>1. Thu gọn sidebar.
2. Click nút mở rộng.
3. Kiểm tra menu text.</x:v>
      </x:c>
      <x:c r="F12" s="50" t="str">
        <x:v>Sidebar mở rộng lại; các menu text hiển thị đầy đủ.</x:v>
      </x:c>
      <x:c r="G12" s="50" t="str">
        <x:v>Medium</x:v>
      </x:c>
      <x:c r="H12" s="50" t="str">
        <x:v>P2</x:v>
      </x:c>
      <x:c r="I12" s="50" t="str">
        <x:v>UI</x:v>
      </x:c>
      <x:c r="J12" s="50" t="str">
        <x:v>Automate</x:v>
      </x:c>
      <x:c r="K12" s="50" t="str"/>
      <x:c r="L12" s="50" t="str">
        <x:v>Not Run</x:v>
      </x:c>
      <x:c r="M12" s="50" t="str"/>
      <x:c r="N12" s="50" t="str"/>
    </x:row>
    <x:row r="13" ht="72" customHeight="1">
      <x:c r="A13" s="50" t="str">
        <x:v>SBM-009</x:v>
      </x:c>
      <x:c r="B13" s="50" t="str">
        <x:v>Sidebar &amp; Menu</x:v>
      </x:c>
      <x:c r="C13" s="50" t="str">
        <x:v>Active menu được giữ khi thu gọn/mở rộng</x:v>
      </x:c>
      <x:c r="D13" s="50" t="str">
        <x:v>Có tài khoản hợp lệ; đã đăng nhập CMS; nhóm Vua Thợ được phép truy cập. Đang ở trang Dashboard.</x:v>
      </x:c>
      <x:c r="E13" s="50" t="str">
        <x:v>1. Chọn một menu.
2. Thu gọn rồi mở rộng sidebar.
3. Kiểm tra active state.</x:v>
      </x:c>
      <x:c r="F13" s="50" t="str">
        <x:v>Menu đang active không bị thay đổi.</x:v>
      </x:c>
      <x:c r="G13" s="50" t="str">
        <x:v>Low</x:v>
      </x:c>
      <x:c r="H13" s="50" t="str">
        <x:v>P3</x:v>
      </x:c>
      <x:c r="I13" s="50" t="str">
        <x:v>UI</x:v>
      </x:c>
      <x:c r="J13" s="50" t="str">
        <x:v>Automate</x:v>
      </x:c>
      <x:c r="K13" s="50" t="str"/>
      <x:c r="L13" s="50" t="str">
        <x:v>Not Run</x:v>
      </x:c>
      <x:c r="M13" s="50" t="str"/>
      <x:c r="N13" s="50" t="str"/>
    </x:row>
    <x:row r="14" ht="72" customHeight="1">
      <x:c r="A14" s="50" t="str">
        <x:v>SBM-010</x:v>
      </x:c>
      <x:c r="B14" s="50" t="str">
        <x:v>Sidebar &amp; Menu</x:v>
      </x:c>
      <x:c r="C14" s="50" t="str">
        <x:v>Cuộn sidebar đến menu cuối</x:v>
      </x:c>
      <x:c r="D14" s="50" t="str">
        <x:v>Có tài khoản hợp lệ; đã đăng nhập CMS; nhóm Vua Thợ được phép truy cập. Đang ở trang Dashboard.</x:v>
      </x:c>
      <x:c r="E14" s="50" t="str">
        <x:v>1. Cuộn riêng vùng menu xuống cuối.
2. Kiểm tra menu Marketing và submenu.
3. Cuộn lại đầu.</x:v>
      </x:c>
      <x:c r="F14" s="50" t="str">
        <x:v>Có thể truy cập toàn bộ menu; không cuộn nhầm main content.</x:v>
      </x:c>
      <x:c r="G14" s="50" t="str">
        <x:v>Medium</x:v>
      </x:c>
      <x:c r="H14" s="50" t="str">
        <x:v>P2</x:v>
      </x:c>
      <x:c r="I14" s="50" t="str">
        <x:v>Navigation</x:v>
      </x:c>
      <x:c r="J14" s="50" t="str">
        <x:v>Automate</x:v>
      </x:c>
      <x:c r="K14" s="50" t="str"/>
      <x:c r="L14" s="50" t="str">
        <x:v>Not Run</x:v>
      </x:c>
      <x:c r="M14" s="50" t="str"/>
      <x:c r="N14" s="50" t="str"/>
    </x:row>
    <x:row r="15" ht="72" customHeight="1">
      <x:c r="A15" s="50" t="str">
        <x:v>SBM-011</x:v>
      </x:c>
      <x:c r="B15" s="50" t="str">
        <x:v>Sidebar &amp; Menu</x:v>
      </x:c>
      <x:c r="C15" s="50" t="str">
        <x:v>Không hiển thị sidebar trùng trên giao diện</x:v>
      </x:c>
      <x:c r="D15" s="50" t="str">
        <x:v>Có tài khoản hợp lệ; đã đăng nhập CMS; nhóm Vua Thợ được phép truy cập. Đang ở trang Dashboard.</x:v>
      </x:c>
      <x:c r="E15" s="50" t="str">
        <x:v>1. Đếm các sidebar displayed.
2. Kiểm tra vị trí/kích thước.</x:v>
      </x:c>
      <x:c r="F15" s="50" t="str">
        <x:v>Chỉ một sidebar được hiển thị và nhận tương tác.</x:v>
      </x:c>
      <x:c r="G15" s="50" t="str">
        <x:v>High</x:v>
      </x:c>
      <x:c r="H15" s="50" t="str">
        <x:v>P1</x:v>
      </x:c>
      <x:c r="I15" s="50" t="str">
        <x:v>UI</x:v>
      </x:c>
      <x:c r="J15" s="50" t="str">
        <x:v>Automate</x:v>
      </x:c>
      <x:c r="K15" s="50" t="str"/>
      <x:c r="L15" s="50" t="str">
        <x:v>Not Run</x:v>
      </x:c>
      <x:c r="M15" s="50" t="str"/>
      <x:c r="N15" s="50" t="str">
        <x:v>OuterHTML có cấu trúc sidebar bị lặp.</x:v>
      </x:c>
    </x:row>
    <x:row r="16" ht="72" customHeight="1">
      <x:c r="A16" s="50" t="str">
        <x:v>SBM-012</x:v>
      </x:c>
      <x:c r="B16" s="50" t="str">
        <x:v>Sidebar &amp; Menu</x:v>
      </x:c>
      <x:c r="C16" s="50" t="str">
        <x:v>Không click menu ẩn/trùng trong DOM</x:v>
      </x:c>
      <x:c r="D16" s="50" t="str">
        <x:v>Có tài khoản hợp lệ; đã đăng nhập CMS; nhóm Vua Thợ được phép truy cập. Đang ở trang Dashboard.</x:v>
      </x:c>
      <x:c r="E16" s="50" t="str">
        <x:v>1. Tìm tất cả link cùng href.
2. Lọc displayed và clickable.
3. Click link hợp lệ.</x:v>
      </x:c>
      <x:c r="F16" s="50" t="str">
        <x:v>Chỉ phần tử visible được click; không phát sinh ElementClickIntercepted do phần tử ẩn.</x:v>
      </x:c>
      <x:c r="G16" s="50" t="str">
        <x:v>High</x:v>
      </x:c>
      <x:c r="H16" s="50" t="str">
        <x:v>P1</x:v>
      </x:c>
      <x:c r="I16" s="50" t="str">
        <x:v>Functional</x:v>
      </x:c>
      <x:c r="J16" s="50" t="str">
        <x:v>Automate</x:v>
      </x:c>
      <x:c r="K16" s="50" t="str"/>
      <x:c r="L16" s="50" t="str">
        <x:v>Not Run</x:v>
      </x:c>
      <x:c r="M16" s="50" t="str"/>
      <x:c r="N16" s="50" t="str"/>
    </x:row>
    <x:row r="17" ht="72" customHeight="1">
      <x:c r="A17" s="50" t="str">
        <x:v>SBM-013</x:v>
      </x:c>
      <x:c r="B17" s="50" t="str">
        <x:v>Sidebar &amp; Menu</x:v>
      </x:c>
      <x:c r="C17" s="50" t="str">
        <x:v>Mở/đóng accordion Người Dùng</x:v>
      </x:c>
      <x:c r="D17" s="50" t="str">
        <x:v>Có tài khoản hợp lệ; đã đăng nhập CMS; nhóm Vua Thợ được phép truy cập. Đang ở trang Dashboard.</x:v>
      </x:c>
      <x:c r="E17" s="50" t="str">
        <x:v>1. Xác định button accordion “Người Dùng”.
2. Đọc aria-expanded.
3. Click để đổi trạng thái.
4. Kiểm tra vùng submenu.</x:v>
      </x:c>
      <x:c r="F17" s="50" t="str">
        <x:v>aria-expanded đổi trạng thái; menu con hiển thị/ẩn đúng. Các submenu hiển thị: Quản Lí Người Dùng, Quản Lí eKYC.</x:v>
      </x:c>
      <x:c r="G17" s="50" t="str">
        <x:v>Medium</x:v>
      </x:c>
      <x:c r="H17" s="50" t="str">
        <x:v>P2</x:v>
      </x:c>
      <x:c r="I17" s="50" t="str">
        <x:v>Navigation</x:v>
      </x:c>
      <x:c r="J17" s="50" t="str">
        <x:v>Automate</x:v>
      </x:c>
      <x:c r="K17" s="50" t="str"/>
      <x:c r="L17" s="50" t="str">
        <x:v>Not Run</x:v>
      </x:c>
      <x:c r="M17" s="50" t="str"/>
      <x:c r="N17" s="50" t="str"/>
    </x:row>
    <x:row r="18" ht="72" customHeight="1">
      <x:c r="A18" s="50" t="str">
        <x:v>SBM-014</x:v>
      </x:c>
      <x:c r="B18" s="50" t="str">
        <x:v>Sidebar &amp; Menu</x:v>
      </x:c>
      <x:c r="C18" s="50" t="str">
        <x:v>Mở/đóng accordion Đối Tác - Thợ</x:v>
      </x:c>
      <x:c r="D18" s="50" t="str">
        <x:v>Có tài khoản hợp lệ; đã đăng nhập CMS; nhóm Vua Thợ được phép truy cập. Đang ở trang Dashboard.</x:v>
      </x:c>
      <x:c r="E18" s="50" t="str">
        <x:v>1. Xác định button accordion “Đối Tác - Thợ”.
2. Đọc aria-expanded.
3. Click để đổi trạng thái.
4. Kiểm tra vùng submenu.</x:v>
      </x:c>
      <x:c r="F18" s="50" t="str">
        <x:v>aria-expanded đổi trạng thái; menu con hiển thị/ẩn đúng. Danh sách submenu phải được xác nhận từ DOM khi menu mở.</x:v>
      </x:c>
      <x:c r="G18" s="50" t="str">
        <x:v>Medium</x:v>
      </x:c>
      <x:c r="H18" s="50" t="str">
        <x:v>P2</x:v>
      </x:c>
      <x:c r="I18" s="50" t="str">
        <x:v>Navigation</x:v>
      </x:c>
      <x:c r="J18" s="50" t="str">
        <x:v>Need more DOM</x:v>
      </x:c>
      <x:c r="K18" s="50" t="str"/>
      <x:c r="L18" s="50" t="str">
        <x:v>Not Run</x:v>
      </x:c>
      <x:c r="M18" s="50" t="str"/>
      <x:c r="N18" s="50" t="str"/>
    </x:row>
    <x:row r="19" ht="72" customHeight="1">
      <x:c r="A19" s="50" t="str">
        <x:v>SBM-015</x:v>
      </x:c>
      <x:c r="B19" s="50" t="str">
        <x:v>Sidebar &amp; Menu</x:v>
      </x:c>
      <x:c r="C19" s="50" t="str">
        <x:v>Mở/đóng accordion Đơn Dịch Vụ</x:v>
      </x:c>
      <x:c r="D19" s="50" t="str">
        <x:v>Có tài khoản hợp lệ; đã đăng nhập CMS; nhóm Vua Thợ được phép truy cập. Đang ở trang Dashboard.</x:v>
      </x:c>
      <x:c r="E19" s="50" t="str">
        <x:v>1. Xác định button accordion “Đơn Dịch Vụ”.
2. Đọc aria-expanded.
3. Click để đổi trạng thái.
4. Kiểm tra vùng submenu.</x:v>
      </x:c>
      <x:c r="F19" s="50" t="str">
        <x:v>aria-expanded đổi trạng thái; menu con hiển thị/ẩn đúng. Danh sách submenu phải được xác nhận từ DOM khi menu mở.</x:v>
      </x:c>
      <x:c r="G19" s="50" t="str">
        <x:v>Medium</x:v>
      </x:c>
      <x:c r="H19" s="50" t="str">
        <x:v>P2</x:v>
      </x:c>
      <x:c r="I19" s="50" t="str">
        <x:v>Navigation</x:v>
      </x:c>
      <x:c r="J19" s="50" t="str">
        <x:v>Need more DOM</x:v>
      </x:c>
      <x:c r="K19" s="50" t="str"/>
      <x:c r="L19" s="50" t="str">
        <x:v>Not Run</x:v>
      </x:c>
      <x:c r="M19" s="50" t="str"/>
      <x:c r="N19" s="50" t="str"/>
    </x:row>
    <x:row r="20" ht="72" customHeight="1">
      <x:c r="A20" s="50" t="str">
        <x:v>SBM-016</x:v>
      </x:c>
      <x:c r="B20" s="50" t="str">
        <x:v>Sidebar &amp; Menu</x:v>
      </x:c>
      <x:c r="C20" s="50" t="str">
        <x:v>Mở/đóng accordion Đồng Phục</x:v>
      </x:c>
      <x:c r="D20" s="50" t="str">
        <x:v>Có tài khoản hợp lệ; đã đăng nhập CMS; nhóm Vua Thợ được phép truy cập. Đang ở trang Dashboard.</x:v>
      </x:c>
      <x:c r="E20" s="50" t="str">
        <x:v>1. Xác định button accordion “Đồng Phục”.
2. Đọc aria-expanded.
3. Click để đổi trạng thái.
4. Kiểm tra vùng submenu.</x:v>
      </x:c>
      <x:c r="F20" s="50" t="str">
        <x:v>aria-expanded đổi trạng thái; menu con hiển thị/ẩn đúng. Danh sách submenu phải được xác nhận từ DOM khi menu mở.</x:v>
      </x:c>
      <x:c r="G20" s="50" t="str">
        <x:v>Medium</x:v>
      </x:c>
      <x:c r="H20" s="50" t="str">
        <x:v>P2</x:v>
      </x:c>
      <x:c r="I20" s="50" t="str">
        <x:v>Navigation</x:v>
      </x:c>
      <x:c r="J20" s="50" t="str">
        <x:v>Need more DOM</x:v>
      </x:c>
      <x:c r="K20" s="50" t="str"/>
      <x:c r="L20" s="50" t="str">
        <x:v>Not Run</x:v>
      </x:c>
      <x:c r="M20" s="50" t="str"/>
      <x:c r="N20" s="50" t="str"/>
    </x:row>
    <x:row r="21" ht="72" customHeight="1">
      <x:c r="A21" s="50" t="str">
        <x:v>SBM-017</x:v>
      </x:c>
      <x:c r="B21" s="50" t="str">
        <x:v>Sidebar &amp; Menu</x:v>
      </x:c>
      <x:c r="C21" s="50" t="str">
        <x:v>Mở/đóng accordion Giao Dịch</x:v>
      </x:c>
      <x:c r="D21" s="50" t="str">
        <x:v>Có tài khoản hợp lệ; đã đăng nhập CMS; nhóm Vua Thợ được phép truy cập. Đang ở trang Dashboard.</x:v>
      </x:c>
      <x:c r="E21" s="50" t="str">
        <x:v>1. Xác định button accordion “Giao Dịch”.
2. Đọc aria-expanded.
3. Click để đổi trạng thái.
4. Kiểm tra vùng submenu.</x:v>
      </x:c>
      <x:c r="F21" s="50" t="str">
        <x:v>aria-expanded đổi trạng thái; menu con hiển thị/ẩn đúng. Danh sách submenu phải được xác nhận từ DOM khi menu mở.</x:v>
      </x:c>
      <x:c r="G21" s="50" t="str">
        <x:v>Medium</x:v>
      </x:c>
      <x:c r="H21" s="50" t="str">
        <x:v>P2</x:v>
      </x:c>
      <x:c r="I21" s="50" t="str">
        <x:v>Navigation</x:v>
      </x:c>
      <x:c r="J21" s="50" t="str">
        <x:v>Need more DOM</x:v>
      </x:c>
      <x:c r="K21" s="50" t="str"/>
      <x:c r="L21" s="50" t="str">
        <x:v>Not Run</x:v>
      </x:c>
      <x:c r="M21" s="50" t="str"/>
      <x:c r="N21" s="50" t="str"/>
    </x:row>
    <x:row r="22" ht="72" customHeight="1">
      <x:c r="A22" s="50" t="str">
        <x:v>SBM-018</x:v>
      </x:c>
      <x:c r="B22" s="50" t="str">
        <x:v>Sidebar &amp; Menu</x:v>
      </x:c>
      <x:c r="C22" s="50" t="str">
        <x:v>Mở/đóng accordion Website</x:v>
      </x:c>
      <x:c r="D22" s="50" t="str">
        <x:v>Có tài khoản hợp lệ; đã đăng nhập CMS; nhóm Vua Thợ được phép truy cập. Đang ở trang Dashboard.</x:v>
      </x:c>
      <x:c r="E22" s="50" t="str">
        <x:v>1. Xác định button accordion “Website”.
2. Đọc aria-expanded.
3. Click để đổi trạng thái.
4. Kiểm tra vùng submenu.</x:v>
      </x:c>
      <x:c r="F22" s="50" t="str">
        <x:v>aria-expanded đổi trạng thái; menu con hiển thị/ẩn đúng. Danh sách submenu phải được xác nhận từ DOM khi menu mở.</x:v>
      </x:c>
      <x:c r="G22" s="50" t="str">
        <x:v>Medium</x:v>
      </x:c>
      <x:c r="H22" s="50" t="str">
        <x:v>P2</x:v>
      </x:c>
      <x:c r="I22" s="50" t="str">
        <x:v>Navigation</x:v>
      </x:c>
      <x:c r="J22" s="50" t="str">
        <x:v>Need more DOM</x:v>
      </x:c>
      <x:c r="K22" s="50" t="str"/>
      <x:c r="L22" s="50" t="str">
        <x:v>Not Run</x:v>
      </x:c>
      <x:c r="M22" s="50" t="str"/>
      <x:c r="N22" s="50" t="str"/>
    </x:row>
    <x:row r="23" ht="72" customHeight="1">
      <x:c r="A23" s="50" t="str">
        <x:v>SBM-019</x:v>
      </x:c>
      <x:c r="B23" s="50" t="str">
        <x:v>Sidebar &amp; Menu</x:v>
      </x:c>
      <x:c r="C23" s="50" t="str">
        <x:v>Mở/đóng accordion App</x:v>
      </x:c>
      <x:c r="D23" s="50" t="str">
        <x:v>Có tài khoản hợp lệ; đã đăng nhập CMS; nhóm Vua Thợ được phép truy cập. Đang ở trang Dashboard.</x:v>
      </x:c>
      <x:c r="E23" s="50" t="str">
        <x:v>1. Xác định button accordion “App”.
2. Đọc aria-expanded.
3. Click để đổi trạng thái.
4. Kiểm tra vùng submenu.</x:v>
      </x:c>
      <x:c r="F23" s="50" t="str">
        <x:v>aria-expanded đổi trạng thái; menu con hiển thị/ẩn đúng. Danh sách submenu phải được xác nhận từ DOM khi menu mở.</x:v>
      </x:c>
      <x:c r="G23" s="50" t="str">
        <x:v>Medium</x:v>
      </x:c>
      <x:c r="H23" s="50" t="str">
        <x:v>P2</x:v>
      </x:c>
      <x:c r="I23" s="50" t="str">
        <x:v>Navigation</x:v>
      </x:c>
      <x:c r="J23" s="50" t="str">
        <x:v>Need more DOM</x:v>
      </x:c>
      <x:c r="K23" s="50" t="str"/>
      <x:c r="L23" s="50" t="str">
        <x:v>Not Run</x:v>
      </x:c>
      <x:c r="M23" s="50" t="str"/>
      <x:c r="N23" s="50" t="str"/>
    </x:row>
    <x:row r="24" ht="72" customHeight="1">
      <x:c r="A24" s="50" t="str">
        <x:v>SBM-020</x:v>
      </x:c>
      <x:c r="B24" s="50" t="str">
        <x:v>Sidebar &amp; Menu</x:v>
      </x:c>
      <x:c r="C24" s="50" t="str">
        <x:v>Mở/đóng accordion System</x:v>
      </x:c>
      <x:c r="D24" s="50" t="str">
        <x:v>Có tài khoản hợp lệ; đã đăng nhập CMS; nhóm Vua Thợ được phép truy cập. Đang ở trang Dashboard.</x:v>
      </x:c>
      <x:c r="E24" s="50" t="str">
        <x:v>1. Xác định button accordion “System”.
2. Đọc aria-expanded.
3. Click để đổi trạng thái.
4. Kiểm tra vùng submenu.</x:v>
      </x:c>
      <x:c r="F24" s="50" t="str">
        <x:v>aria-expanded đổi trạng thái; menu con hiển thị/ẩn đúng. Các submenu hiển thị: Quản Lí AI, Quản Lí Mạng Xã Hội.</x:v>
      </x:c>
      <x:c r="G24" s="50" t="str">
        <x:v>Medium</x:v>
      </x:c>
      <x:c r="H24" s="50" t="str">
        <x:v>P2</x:v>
      </x:c>
      <x:c r="I24" s="50" t="str">
        <x:v>Navigation</x:v>
      </x:c>
      <x:c r="J24" s="50" t="str">
        <x:v>Automate</x:v>
      </x:c>
      <x:c r="K24" s="50" t="str"/>
      <x:c r="L24" s="50" t="str">
        <x:v>Not Run</x:v>
      </x:c>
      <x:c r="M24" s="50" t="str"/>
      <x:c r="N24" s="50" t="str"/>
    </x:row>
    <x:row r="25" ht="72" customHeight="1">
      <x:c r="A25" s="50" t="str">
        <x:v>SBM-021</x:v>
      </x:c>
      <x:c r="B25" s="50" t="str">
        <x:v>Sidebar &amp; Menu</x:v>
      </x:c>
      <x:c r="C25" s="50" t="str">
        <x:v>Mở/đóng accordion Marketing</x:v>
      </x:c>
      <x:c r="D25" s="50" t="str">
        <x:v>Có tài khoản hợp lệ; đã đăng nhập CMS; nhóm Vua Thợ được phép truy cập. Đang ở trang Dashboard.</x:v>
      </x:c>
      <x:c r="E25" s="50" t="str">
        <x:v>1. Xác định button accordion “Marketing”.
2. Đọc aria-expanded.
3. Click để đổi trạng thái.
4. Kiểm tra vùng submenu.</x:v>
      </x:c>
      <x:c r="F25" s="50" t="str">
        <x:v>aria-expanded đổi trạng thái; menu con hiển thị/ẩn đúng. Các submenu hiển thị: Hiệu suất Marketing, Chương Trình Khuyến Mãi, Quản Lí Chiến Dịch, Quản Lí Cuộc Thi, Tỏa Sáng Vua Thợ, Quản Lí Vua Thợ Care, Yêu Cầu Hỗ Trợ (SOS).</x:v>
      </x:c>
      <x:c r="G25" s="50" t="str">
        <x:v>Medium</x:v>
      </x:c>
      <x:c r="H25" s="50" t="str">
        <x:v>P2</x:v>
      </x:c>
      <x:c r="I25" s="50" t="str">
        <x:v>Navigation</x:v>
      </x:c>
      <x:c r="J25" s="50" t="str">
        <x:v>Automate</x:v>
      </x:c>
      <x:c r="K25" s="50" t="str"/>
      <x:c r="L25" s="50" t="str">
        <x:v>Not Run</x:v>
      </x:c>
      <x:c r="M25" s="50" t="str"/>
      <x:c r="N25" s="50" t="str"/>
    </x:row>
    <x:row r="26" ht="72" customHeight="1">
      <x:c r="A26" s="50" t="str">
        <x:v>SBM-022</x:v>
      </x:c>
      <x:c r="B26" s="50" t="str">
        <x:v>Sidebar &amp; Menu</x:v>
      </x:c>
      <x:c r="C26" s="50" t="str">
        <x:v>Điều hướng menu Dashboard</x:v>
      </x:c>
      <x:c r="D26" s="50" t="str">
        <x:v>Có tài khoản hợp lệ; đã đăng nhập CMS; nhóm Vua Thợ được phép truy cập. Đang ở trang Dashboard.</x:v>
      </x:c>
      <x:c r="E26" s="50" t="str">
        <x:v>1. Mở parent menu nếu cần.
2. Click link “{name}”.
3. Chờ URL/main content thay đổi.
4. Kiểm tra lỗi trang và session.</x:v>
      </x:c>
      <x:c r="F26" s="50" t="str">
        <x:v>URL chứa '/vuatho/dashboard'; trang đích tải thành công; không 404/500/trắng trang; không logout.</x:v>
      </x:c>
      <x:c r="G26" s="50" t="str">
        <x:v>High</x:v>
      </x:c>
      <x:c r="H26" s="50" t="str">
        <x:v>P1</x:v>
      </x:c>
      <x:c r="I26" s="50" t="str">
        <x:v>Navigation</x:v>
      </x:c>
      <x:c r="J26" s="50" t="str">
        <x:v>Automate</x:v>
      </x:c>
      <x:c r="K26" s="50" t="str"/>
      <x:c r="L26" s="50" t="str">
        <x:v>Not Run</x:v>
      </x:c>
      <x:c r="M26" s="50" t="str"/>
      <x:c r="N26" s="50" t="str">
        <x:v>DOM href=/vuatho/dashboard</x:v>
      </x:c>
    </x:row>
    <x:row r="27" ht="72" customHeight="1">
      <x:c r="A27" s="50" t="str">
        <x:v>SBM-023</x:v>
      </x:c>
      <x:c r="B27" s="50" t="str">
        <x:v>Sidebar &amp; Menu</x:v>
      </x:c>
      <x:c r="C27" s="50" t="str">
        <x:v>Điều hướng menu Hiệu Quả Nguồn Thợ &amp; Chi Phí</x:v>
      </x:c>
      <x:c r="D27" s="50" t="str">
        <x:v>Có tài khoản hợp lệ; đã đăng nhập CMS; nhóm Vua Thợ được phép truy cập. Đang ở trang Dashboard.</x:v>
      </x:c>
      <x:c r="E27" s="50" t="str">
        <x:v>1. Mở parent menu nếu cần.
2. Click link “{name}”.
3. Chờ URL/main content thay đổi.
4. Kiểm tra lỗi trang và session.</x:v>
      </x:c>
      <x:c r="F27" s="50" t="str">
        <x:v>URL chứa '/vuatho/supply-performance'; trang đích tải thành công; không 404/500/trắng trang; không logout.</x:v>
      </x:c>
      <x:c r="G27" s="50" t="str">
        <x:v>High</x:v>
      </x:c>
      <x:c r="H27" s="50" t="str">
        <x:v>P1</x:v>
      </x:c>
      <x:c r="I27" s="50" t="str">
        <x:v>Navigation</x:v>
      </x:c>
      <x:c r="J27" s="50" t="str">
        <x:v>Automate</x:v>
      </x:c>
      <x:c r="K27" s="50" t="str"/>
      <x:c r="L27" s="50" t="str">
        <x:v>Not Run</x:v>
      </x:c>
      <x:c r="M27" s="50" t="str"/>
      <x:c r="N27" s="50" t="str">
        <x:v>DOM href=/vuatho/supply-performance</x:v>
      </x:c>
    </x:row>
    <x:row r="28" ht="72" customHeight="1">
      <x:c r="A28" s="50" t="str">
        <x:v>SBM-024</x:v>
      </x:c>
      <x:c r="B28" s="50" t="str">
        <x:v>Sidebar &amp; Menu</x:v>
      </x:c>
      <x:c r="C28" s="50" t="str">
        <x:v>Điều hướng menu Tài chính</x:v>
      </x:c>
      <x:c r="D28" s="50" t="str">
        <x:v>Có tài khoản hợp lệ; đã đăng nhập CMS; nhóm Vua Thợ được phép truy cập. Đang ở trang Dashboard.</x:v>
      </x:c>
      <x:c r="E28" s="50" t="str">
        <x:v>1. Mở parent menu nếu cần.
2. Click link “{name}”.
3. Chờ URL/main content thay đổi.
4. Kiểm tra lỗi trang và session.</x:v>
      </x:c>
      <x:c r="F28" s="50" t="str">
        <x:v>URL chứa '/vuatho/finance'; trang đích tải thành công; không 404/500/trắng trang; không logout.</x:v>
      </x:c>
      <x:c r="G28" s="50" t="str">
        <x:v>High</x:v>
      </x:c>
      <x:c r="H28" s="50" t="str">
        <x:v>P1</x:v>
      </x:c>
      <x:c r="I28" s="50" t="str">
        <x:v>Navigation</x:v>
      </x:c>
      <x:c r="J28" s="50" t="str">
        <x:v>Automate</x:v>
      </x:c>
      <x:c r="K28" s="50" t="str"/>
      <x:c r="L28" s="50" t="str">
        <x:v>Not Run</x:v>
      </x:c>
      <x:c r="M28" s="50" t="str"/>
      <x:c r="N28" s="50" t="str">
        <x:v>DOM href=/vuatho/finance</x:v>
      </x:c>
    </x:row>
    <x:row r="29" ht="72" customHeight="1">
      <x:c r="A29" s="50" t="str">
        <x:v>SBM-025</x:v>
      </x:c>
      <x:c r="B29" s="50" t="str">
        <x:v>Sidebar &amp; Menu</x:v>
      </x:c>
      <x:c r="C29" s="50" t="str">
        <x:v>Điều hướng menu Quản Lí Người Dùng</x:v>
      </x:c>
      <x:c r="D29" s="50" t="str">
        <x:v>Có tài khoản hợp lệ; đã đăng nhập CMS; nhóm Vua Thợ được phép truy cập. Đang ở trang Dashboard.</x:v>
      </x:c>
      <x:c r="E29" s="50" t="str">
        <x:v>1. Mở parent menu nếu cần.
2. Click link “{name}”.
3. Chờ URL/main content thay đổi.
4. Kiểm tra lỗi trang và session.</x:v>
      </x:c>
      <x:c r="F29" s="50" t="str">
        <x:v>URL chứa '/vuatho/user'; trang đích tải thành công; không 404/500/trắng trang; không logout.</x:v>
      </x:c>
      <x:c r="G29" s="50" t="str">
        <x:v>High</x:v>
      </x:c>
      <x:c r="H29" s="50" t="str">
        <x:v>P1</x:v>
      </x:c>
      <x:c r="I29" s="50" t="str">
        <x:v>Navigation</x:v>
      </x:c>
      <x:c r="J29" s="50" t="str">
        <x:v>Automate</x:v>
      </x:c>
      <x:c r="K29" s="50" t="str"/>
      <x:c r="L29" s="50" t="str">
        <x:v>Not Run</x:v>
      </x:c>
      <x:c r="M29" s="50" t="str"/>
      <x:c r="N29" s="50" t="str">
        <x:v>DOM href=/vuatho/user</x:v>
      </x:c>
    </x:row>
    <x:row r="30" ht="72" customHeight="1">
      <x:c r="A30" s="50" t="str">
        <x:v>SBM-026</x:v>
      </x:c>
      <x:c r="B30" s="50" t="str">
        <x:v>Sidebar &amp; Menu</x:v>
      </x:c>
      <x:c r="C30" s="50" t="str">
        <x:v>Điều hướng menu Quản Lí eKYC</x:v>
      </x:c>
      <x:c r="D30" s="50" t="str">
        <x:v>Có tài khoản hợp lệ; đã đăng nhập CMS; nhóm Vua Thợ được phép truy cập. Đang ở trang Dashboard.</x:v>
      </x:c>
      <x:c r="E30" s="50" t="str">
        <x:v>1. Mở parent menu nếu cần.
2. Click link “{name}”.
3. Chờ URL/main content thay đổi.
4. Kiểm tra lỗi trang và session.</x:v>
      </x:c>
      <x:c r="F30" s="50" t="str">
        <x:v>URL chứa '/vuatho/ekyc'; trang đích tải thành công; không 404/500/trắng trang; không logout.</x:v>
      </x:c>
      <x:c r="G30" s="50" t="str">
        <x:v>High</x:v>
      </x:c>
      <x:c r="H30" s="50" t="str">
        <x:v>P1</x:v>
      </x:c>
      <x:c r="I30" s="50" t="str">
        <x:v>Navigation</x:v>
      </x:c>
      <x:c r="J30" s="50" t="str">
        <x:v>Automate</x:v>
      </x:c>
      <x:c r="K30" s="50" t="str"/>
      <x:c r="L30" s="50" t="str">
        <x:v>Not Run</x:v>
      </x:c>
      <x:c r="M30" s="50" t="str"/>
      <x:c r="N30" s="50" t="str">
        <x:v>DOM href=/vuatho/ekyc</x:v>
      </x:c>
    </x:row>
    <x:row r="31" ht="72" customHeight="1">
      <x:c r="A31" s="50" t="str">
        <x:v>SBM-027</x:v>
      </x:c>
      <x:c r="B31" s="50" t="str">
        <x:v>Sidebar &amp; Menu</x:v>
      </x:c>
      <x:c r="C31" s="50" t="str">
        <x:v>Điều hướng menu Bài Kiểm Tra</x:v>
      </x:c>
      <x:c r="D31" s="50" t="str">
        <x:v>Có tài khoản hợp lệ; đã đăng nhập CMS; nhóm Vua Thợ được phép truy cập. Đang ở trang Dashboard.</x:v>
      </x:c>
      <x:c r="E31" s="50" t="str">
        <x:v>1. Mở parent menu nếu cần.
2. Click link “{name}”.
3. Chờ URL/main content thay đổi.
4. Kiểm tra lỗi trang và session.</x:v>
      </x:c>
      <x:c r="F31" s="50" t="str">
        <x:v>URL chứa '/vuatho/tested'; trang đích tải thành công; không 404/500/trắng trang; không logout.</x:v>
      </x:c>
      <x:c r="G31" s="50" t="str">
        <x:v>High</x:v>
      </x:c>
      <x:c r="H31" s="50" t="str">
        <x:v>P1</x:v>
      </x:c>
      <x:c r="I31" s="50" t="str">
        <x:v>Navigation</x:v>
      </x:c>
      <x:c r="J31" s="50" t="str">
        <x:v>Automate</x:v>
      </x:c>
      <x:c r="K31" s="50" t="str"/>
      <x:c r="L31" s="50" t="str">
        <x:v>Not Run</x:v>
      </x:c>
      <x:c r="M31" s="50" t="str"/>
      <x:c r="N31" s="50" t="str">
        <x:v>DOM href=/vuatho/tested</x:v>
      </x:c>
    </x:row>
    <x:row r="32" ht="72" customHeight="1">
      <x:c r="A32" s="50" t="str">
        <x:v>SBM-028</x:v>
      </x:c>
      <x:c r="B32" s="50" t="str">
        <x:v>Sidebar &amp; Menu</x:v>
      </x:c>
      <x:c r="C32" s="50" t="str">
        <x:v>Điều hướng menu Nghiệp Vụ</x:v>
      </x:c>
      <x:c r="D32" s="50" t="str">
        <x:v>Có tài khoản hợp lệ; đã đăng nhập CMS; nhóm Vua Thợ được phép truy cập. Đang ở trang Dashboard.</x:v>
      </x:c>
      <x:c r="E32" s="50" t="str">
        <x:v>1. Mở parent menu nếu cần.
2. Click link “{name}”.
3. Chờ URL/main content thay đổi.
4. Kiểm tra lỗi trang và session.</x:v>
      </x:c>
      <x:c r="F32" s="50" t="str">
        <x:v>URL chứa '/vuatho/service'; trang đích tải thành công; không 404/500/trắng trang; không logout.</x:v>
      </x:c>
      <x:c r="G32" s="50" t="str">
        <x:v>High</x:v>
      </x:c>
      <x:c r="H32" s="50" t="str">
        <x:v>P1</x:v>
      </x:c>
      <x:c r="I32" s="50" t="str">
        <x:v>Navigation</x:v>
      </x:c>
      <x:c r="J32" s="50" t="str">
        <x:v>Automate</x:v>
      </x:c>
      <x:c r="K32" s="50" t="str"/>
      <x:c r="L32" s="50" t="str">
        <x:v>Not Run</x:v>
      </x:c>
      <x:c r="M32" s="50" t="str"/>
      <x:c r="N32" s="50" t="str">
        <x:v>DOM href=/vuatho/service</x:v>
      </x:c>
    </x:row>
    <x:row r="33" ht="72" customHeight="1">
      <x:c r="A33" s="50" t="str">
        <x:v>SBM-029</x:v>
      </x:c>
      <x:c r="B33" s="50" t="str">
        <x:v>Sidebar &amp; Menu</x:v>
      </x:c>
      <x:c r="C33" s="50" t="str">
        <x:v>Điều hướng menu Quản Lí AI</x:v>
      </x:c>
      <x:c r="D33" s="50" t="str">
        <x:v>Có tài khoản hợp lệ; đã đăng nhập CMS; nhóm Vua Thợ được phép truy cập. Đang ở trang Dashboard.</x:v>
      </x:c>
      <x:c r="E33" s="50" t="str">
        <x:v>1. Mở parent menu nếu cần.
2. Click link “{name}”.
3. Chờ URL/main content thay đổi.
4. Kiểm tra lỗi trang và session.</x:v>
      </x:c>
      <x:c r="F33" s="50" t="str">
        <x:v>URL chứa '/vuatho/model-AI'; trang đích tải thành công; không 404/500/trắng trang; không logout.</x:v>
      </x:c>
      <x:c r="G33" s="50" t="str">
        <x:v>High</x:v>
      </x:c>
      <x:c r="H33" s="50" t="str">
        <x:v>P1</x:v>
      </x:c>
      <x:c r="I33" s="50" t="str">
        <x:v>Navigation</x:v>
      </x:c>
      <x:c r="J33" s="50" t="str">
        <x:v>Automate</x:v>
      </x:c>
      <x:c r="K33" s="50" t="str"/>
      <x:c r="L33" s="50" t="str">
        <x:v>Not Run</x:v>
      </x:c>
      <x:c r="M33" s="50" t="str"/>
      <x:c r="N33" s="50" t="str">
        <x:v>DOM href=/vuatho/model-AI</x:v>
      </x:c>
    </x:row>
    <x:row r="34" ht="72" customHeight="1">
      <x:c r="A34" s="50" t="str">
        <x:v>SBM-030</x:v>
      </x:c>
      <x:c r="B34" s="50" t="str">
        <x:v>Sidebar &amp; Menu</x:v>
      </x:c>
      <x:c r="C34" s="50" t="str">
        <x:v>Điều hướng menu Quản Lí Mạng Xã Hội</x:v>
      </x:c>
      <x:c r="D34" s="50" t="str">
        <x:v>Có tài khoản hợp lệ; đã đăng nhập CMS; nhóm Vua Thợ được phép truy cập. Đang ở trang Dashboard.</x:v>
      </x:c>
      <x:c r="E34" s="50" t="str">
        <x:v>1. Mở parent menu nếu cần.
2. Click link “{name}”.
3. Chờ URL/main content thay đổi.
4. Kiểm tra lỗi trang và session.</x:v>
      </x:c>
      <x:c r="F34" s="50" t="str">
        <x:v>URL chứa '/vuatho/social-network'; trang đích tải thành công; không 404/500/trắng trang; không logout.</x:v>
      </x:c>
      <x:c r="G34" s="50" t="str">
        <x:v>High</x:v>
      </x:c>
      <x:c r="H34" s="50" t="str">
        <x:v>P1</x:v>
      </x:c>
      <x:c r="I34" s="50" t="str">
        <x:v>Navigation</x:v>
      </x:c>
      <x:c r="J34" s="50" t="str">
        <x:v>Automate</x:v>
      </x:c>
      <x:c r="K34" s="50" t="str"/>
      <x:c r="L34" s="50" t="str">
        <x:v>Not Run</x:v>
      </x:c>
      <x:c r="M34" s="50" t="str"/>
      <x:c r="N34" s="50" t="str">
        <x:v>DOM href=/vuatho/social-network</x:v>
      </x:c>
    </x:row>
    <x:row r="35" ht="72" customHeight="1">
      <x:c r="A35" s="50" t="str">
        <x:v>SBM-031</x:v>
      </x:c>
      <x:c r="B35" s="50" t="str">
        <x:v>Sidebar &amp; Menu</x:v>
      </x:c>
      <x:c r="C35" s="50" t="str">
        <x:v>Điều hướng menu Hiệu suất Marketing</x:v>
      </x:c>
      <x:c r="D35" s="50" t="str">
        <x:v>Có tài khoản hợp lệ; đã đăng nhập CMS; nhóm Vua Thợ được phép truy cập. Đang ở trang Dashboard.</x:v>
      </x:c>
      <x:c r="E35" s="50" t="str">
        <x:v>1. Mở parent menu nếu cần.
2. Click link “{name}”.
3. Chờ URL/main content thay đổi.
4. Kiểm tra lỗi trang và session.</x:v>
      </x:c>
      <x:c r="F35" s="50" t="str">
        <x:v>URL chứa '/vuatho/marketing-statistic'; trang đích tải thành công; không 404/500/trắng trang; không logout.</x:v>
      </x:c>
      <x:c r="G35" s="50" t="str">
        <x:v>High</x:v>
      </x:c>
      <x:c r="H35" s="50" t="str">
        <x:v>P1</x:v>
      </x:c>
      <x:c r="I35" s="50" t="str">
        <x:v>Navigation</x:v>
      </x:c>
      <x:c r="J35" s="50" t="str">
        <x:v>Automate</x:v>
      </x:c>
      <x:c r="K35" s="50" t="str"/>
      <x:c r="L35" s="50" t="str">
        <x:v>Not Run</x:v>
      </x:c>
      <x:c r="M35" s="50" t="str"/>
      <x:c r="N35" s="50" t="str">
        <x:v>DOM href=/vuatho/marketing-statistic</x:v>
      </x:c>
    </x:row>
    <x:row r="36" ht="72" customHeight="1">
      <x:c r="A36" s="50" t="str">
        <x:v>SBM-032</x:v>
      </x:c>
      <x:c r="B36" s="50" t="str">
        <x:v>Sidebar &amp; Menu</x:v>
      </x:c>
      <x:c r="C36" s="50" t="str">
        <x:v>Điều hướng menu Chương Trình Khuyến Mãi</x:v>
      </x:c>
      <x:c r="D36" s="50" t="str">
        <x:v>Có tài khoản hợp lệ; đã đăng nhập CMS; nhóm Vua Thợ được phép truy cập. Đang ở trang Dashboard.</x:v>
      </x:c>
      <x:c r="E36" s="50" t="str">
        <x:v>1. Mở parent menu nếu cần.
2. Click link “{name}”.
3. Chờ URL/main content thay đổi.
4. Kiểm tra lỗi trang và session.</x:v>
      </x:c>
      <x:c r="F36" s="50" t="str">
        <x:v>URL chứa '/vuatho/statistic-promotion'; trang đích tải thành công; không 404/500/trắng trang; không logout.</x:v>
      </x:c>
      <x:c r="G36" s="50" t="str">
        <x:v>High</x:v>
      </x:c>
      <x:c r="H36" s="50" t="str">
        <x:v>P1</x:v>
      </x:c>
      <x:c r="I36" s="50" t="str">
        <x:v>Navigation</x:v>
      </x:c>
      <x:c r="J36" s="50" t="str">
        <x:v>Automate</x:v>
      </x:c>
      <x:c r="K36" s="50" t="str"/>
      <x:c r="L36" s="50" t="str">
        <x:v>Not Run</x:v>
      </x:c>
      <x:c r="M36" s="50" t="str"/>
      <x:c r="N36" s="50" t="str">
        <x:v>DOM href=/vuatho/statistic-promotion</x:v>
      </x:c>
    </x:row>
    <x:row r="37" ht="72" customHeight="1">
      <x:c r="A37" s="50" t="str">
        <x:v>SBM-033</x:v>
      </x:c>
      <x:c r="B37" s="50" t="str">
        <x:v>Sidebar &amp; Menu</x:v>
      </x:c>
      <x:c r="C37" s="50" t="str">
        <x:v>Điều hướng menu Quản Lí Chiến Dịch</x:v>
      </x:c>
      <x:c r="D37" s="50" t="str">
        <x:v>Có tài khoản hợp lệ; đã đăng nhập CMS; nhóm Vua Thợ được phép truy cập. Đang ở trang Dashboard.</x:v>
      </x:c>
      <x:c r="E37" s="50" t="str">
        <x:v>1. Mở parent menu nếu cần.
2. Click link “{name}”.
3. Chờ URL/main content thay đổi.
4. Kiểm tra lỗi trang và session.</x:v>
      </x:c>
      <x:c r="F37" s="50" t="str">
        <x:v>URL chứa '/vuatho/campaigns'; trang đích tải thành công; không 404/500/trắng trang; không logout.</x:v>
      </x:c>
      <x:c r="G37" s="50" t="str">
        <x:v>High</x:v>
      </x:c>
      <x:c r="H37" s="50" t="str">
        <x:v>P1</x:v>
      </x:c>
      <x:c r="I37" s="50" t="str">
        <x:v>Navigation</x:v>
      </x:c>
      <x:c r="J37" s="50" t="str">
        <x:v>Automate</x:v>
      </x:c>
      <x:c r="K37" s="50" t="str"/>
      <x:c r="L37" s="50" t="str">
        <x:v>Not Run</x:v>
      </x:c>
      <x:c r="M37" s="50" t="str"/>
      <x:c r="N37" s="50" t="str">
        <x:v>DOM href=/vuatho/campaigns</x:v>
      </x:c>
    </x:row>
    <x:row r="38" ht="72" customHeight="1">
      <x:c r="A38" s="50" t="str">
        <x:v>SBM-034</x:v>
      </x:c>
      <x:c r="B38" s="50" t="str">
        <x:v>Sidebar &amp; Menu</x:v>
      </x:c>
      <x:c r="C38" s="50" t="str">
        <x:v>Điều hướng menu Quản Lí Cuộc Thi</x:v>
      </x:c>
      <x:c r="D38" s="50" t="str">
        <x:v>Có tài khoản hợp lệ; đã đăng nhập CMS; nhóm Vua Thợ được phép truy cập. Đang ở trang Dashboard.</x:v>
      </x:c>
      <x:c r="E38" s="50" t="str">
        <x:v>1. Mở parent menu nếu cần.
2. Click link “{name}”.
3. Chờ URL/main content thay đổi.
4. Kiểm tra lỗi trang và session.</x:v>
      </x:c>
      <x:c r="F38" s="50" t="str">
        <x:v>URL chứa '/vuatho/competition'; trang đích tải thành công; không 404/500/trắng trang; không logout.</x:v>
      </x:c>
      <x:c r="G38" s="50" t="str">
        <x:v>High</x:v>
      </x:c>
      <x:c r="H38" s="50" t="str">
        <x:v>P1</x:v>
      </x:c>
      <x:c r="I38" s="50" t="str">
        <x:v>Navigation</x:v>
      </x:c>
      <x:c r="J38" s="50" t="str">
        <x:v>Automate</x:v>
      </x:c>
      <x:c r="K38" s="50" t="str"/>
      <x:c r="L38" s="50" t="str">
        <x:v>Not Run</x:v>
      </x:c>
      <x:c r="M38" s="50" t="str"/>
      <x:c r="N38" s="50" t="str">
        <x:v>DOM href=/vuatho/competition</x:v>
      </x:c>
    </x:row>
    <x:row r="39" ht="72" customHeight="1">
      <x:c r="A39" s="50" t="str">
        <x:v>SBM-035</x:v>
      </x:c>
      <x:c r="B39" s="50" t="str">
        <x:v>Sidebar &amp; Menu</x:v>
      </x:c>
      <x:c r="C39" s="50" t="str">
        <x:v>Điều hướng menu Tỏa Sáng Vua Thợ</x:v>
      </x:c>
      <x:c r="D39" s="50" t="str">
        <x:v>Có tài khoản hợp lệ; đã đăng nhập CMS; nhóm Vua Thợ được phép truy cập. Đang ở trang Dashboard.</x:v>
      </x:c>
      <x:c r="E39" s="50" t="str">
        <x:v>1. Mở parent menu nếu cần.
2. Click link “{name}”.
3. Chờ URL/main content thay đổi.
4. Kiểm tra lỗi trang và session.</x:v>
      </x:c>
      <x:c r="F39" s="50" t="str">
        <x:v>URL chứa '/vuatho/toasangvuatho'; trang đích tải thành công; không 404/500/trắng trang; không logout.</x:v>
      </x:c>
      <x:c r="G39" s="50" t="str">
        <x:v>High</x:v>
      </x:c>
      <x:c r="H39" s="50" t="str">
        <x:v>P1</x:v>
      </x:c>
      <x:c r="I39" s="50" t="str">
        <x:v>Navigation</x:v>
      </x:c>
      <x:c r="J39" s="50" t="str">
        <x:v>Automate</x:v>
      </x:c>
      <x:c r="K39" s="50" t="str"/>
      <x:c r="L39" s="50" t="str">
        <x:v>Not Run</x:v>
      </x:c>
      <x:c r="M39" s="50" t="str"/>
      <x:c r="N39" s="50" t="str">
        <x:v>DOM href=/vuatho/toasangvuatho</x:v>
      </x:c>
    </x:row>
    <x:row r="40" ht="72" customHeight="1">
      <x:c r="A40" s="50" t="str">
        <x:v>SBM-036</x:v>
      </x:c>
      <x:c r="B40" s="50" t="str">
        <x:v>Sidebar &amp; Menu</x:v>
      </x:c>
      <x:c r="C40" s="50" t="str">
        <x:v>Điều hướng menu Quản Lí Vua Thợ Care</x:v>
      </x:c>
      <x:c r="D40" s="50" t="str">
        <x:v>Có tài khoản hợp lệ; đã đăng nhập CMS; nhóm Vua Thợ được phép truy cập. Đang ở trang Dashboard.</x:v>
      </x:c>
      <x:c r="E40" s="50" t="str">
        <x:v>1. Mở parent menu nếu cần.
2. Click link “{name}”.
3. Chờ URL/main content thay đổi.
4. Kiểm tra lỗi trang và session.</x:v>
      </x:c>
      <x:c r="F40" s="50" t="str">
        <x:v>URL chứa '/vuatho/insurance'; trang đích tải thành công; không 404/500/trắng trang; không logout.</x:v>
      </x:c>
      <x:c r="G40" s="50" t="str">
        <x:v>High</x:v>
      </x:c>
      <x:c r="H40" s="50" t="str">
        <x:v>P1</x:v>
      </x:c>
      <x:c r="I40" s="50" t="str">
        <x:v>Navigation</x:v>
      </x:c>
      <x:c r="J40" s="50" t="str">
        <x:v>Automate</x:v>
      </x:c>
      <x:c r="K40" s="50" t="str"/>
      <x:c r="L40" s="50" t="str">
        <x:v>Not Run</x:v>
      </x:c>
      <x:c r="M40" s="50" t="str"/>
      <x:c r="N40" s="50" t="str">
        <x:v>DOM href=/vuatho/insurance</x:v>
      </x:c>
    </x:row>
    <x:row r="41" ht="72" customHeight="1">
      <x:c r="A41" s="50" t="str">
        <x:v>SBM-037</x:v>
      </x:c>
      <x:c r="B41" s="50" t="str">
        <x:v>Sidebar &amp; Menu</x:v>
      </x:c>
      <x:c r="C41" s="50" t="str">
        <x:v>Điều hướng menu Yêu Cầu Hỗ Trợ (SOS)</x:v>
      </x:c>
      <x:c r="D41" s="50" t="str">
        <x:v>Có tài khoản hợp lệ; đã đăng nhập CMS; nhóm Vua Thợ được phép truy cập. Đang ở trang Dashboard.</x:v>
      </x:c>
      <x:c r="E41" s="50" t="str">
        <x:v>1. Mở parent menu nếu cần.
2. Click link “{name}”.
3. Chờ URL/main content thay đổi.
4. Kiểm tra lỗi trang và session.</x:v>
      </x:c>
      <x:c r="F41" s="50" t="str">
        <x:v>URL chứa '/vuatho/sos-request'; trang đích tải thành công; không 404/500/trắng trang; không logout.</x:v>
      </x:c>
      <x:c r="G41" s="50" t="str">
        <x:v>High</x:v>
      </x:c>
      <x:c r="H41" s="50" t="str">
        <x:v>P1</x:v>
      </x:c>
      <x:c r="I41" s="50" t="str">
        <x:v>Navigation</x:v>
      </x:c>
      <x:c r="J41" s="50" t="str">
        <x:v>Automate</x:v>
      </x:c>
      <x:c r="K41" s="50" t="str"/>
      <x:c r="L41" s="50" t="str">
        <x:v>Not Run</x:v>
      </x:c>
      <x:c r="M41" s="50" t="str"/>
      <x:c r="N41" s="50" t="str">
        <x:v>DOM href=/vuatho/sos-request</x:v>
      </x:c>
    </x:row>
    <x:row r="42" ht="72" customHeight="1">
      <x:c r="A42" s="50" t="str">
        <x:v>SBM-038</x:v>
      </x:c>
      <x:c r="B42" s="50" t="str">
        <x:v>Sidebar &amp; Menu</x:v>
      </x:c>
      <x:c r="C42" s="50" t="str">
        <x:v>Điều hướng menu bằng bàn phím</x:v>
      </x:c>
      <x:c r="D42" s="50" t="str">
        <x:v>Có tài khoản hợp lệ; đã đăng nhập CMS; nhóm Vua Thợ được phép truy cập. Đang ở trang Dashboard.</x:v>
      </x:c>
      <x:c r="E42" s="50" t="str">
        <x:v>1. Dùng Tab đến nhóm/menu.
2. Dùng Enter/Space để mở accordion và link.
3. Kiểm tra focus.</x:v>
      </x:c>
      <x:c r="F42" s="50" t="str">
        <x:v>Có thể điều hướng bằng bàn phím; focus hiển thị rõ; không bị kẹt.</x:v>
      </x:c>
      <x:c r="G42" s="50" t="str">
        <x:v>Medium</x:v>
      </x:c>
      <x:c r="H42" s="50" t="str">
        <x:v>P2</x:v>
      </x:c>
      <x:c r="I42" s="50" t="str">
        <x:v>Accessibility</x:v>
      </x:c>
      <x:c r="J42" s="50" t="str">
        <x:v>Automate</x:v>
      </x:c>
      <x:c r="K42" s="50" t="str"/>
      <x:c r="L42" s="50" t="str">
        <x:v>Not Run</x:v>
      </x:c>
      <x:c r="M42" s="50" t="str"/>
      <x:c r="N42" s="50" t="str"/>
    </x:row>
    <x:row r="43" ht="72" customHeight="1">
      <x:c r="A43" s="50" t="str">
        <x:v>SBM-039</x:v>
      </x:c>
      <x:c r="B43" s="50" t="str">
        <x:v>Sidebar &amp; Menu</x:v>
      </x:c>
      <x:c r="C43" s="50" t="str">
        <x:v>Menu text dài không làm vỡ sidebar</x:v>
      </x:c>
      <x:c r="D43" s="50" t="str">
        <x:v>Thực hiện trên môi trường test/staging với dữ liệu an toàn.</x:v>
      </x:c>
      <x:c r="E43" s="50" t="str">
        <x:v>1. Mock/chuẩn bị menu có text dài.
2. Mở sidebar ở các kích thước.
3. Quan sát wrap/truncate và tooltip nếu có.</x:v>
      </x:c>
      <x:c r="F43" s="50" t="str">
        <x:v>Menu không chồng lấn; vẫn nhận diện và click được.</x:v>
      </x:c>
      <x:c r="G43" s="50" t="str">
        <x:v>Low</x:v>
      </x:c>
      <x:c r="H43" s="50" t="str">
        <x:v>P3</x:v>
      </x:c>
      <x:c r="I43" s="50" t="str">
        <x:v>Boundary</x:v>
      </x:c>
      <x:c r="J43" s="50" t="str">
        <x:v>Need API/Database</x:v>
      </x:c>
      <x:c r="K43" s="50" t="str"/>
      <x:c r="L43" s="50" t="str">
        <x:v>Not Run</x:v>
      </x:c>
      <x:c r="M43" s="50" t="str"/>
      <x:c r="N43" s="50" t="str"/>
    </x:row>
    <x:row r="44" ht="72" customHeight="1">
      <x:c r="A44" s="50" t="str">
        <x:v>SBM-040</x:v>
      </x:c>
      <x:c r="B44" s="50" t="str">
        <x:v>Sidebar &amp; Menu</x:v>
      </x:c>
      <x:c r="C44" s="50" t="str">
        <x:v>Link menu không đủ quyền</x:v>
      </x:c>
      <x:c r="D44" s="50" t="str">
        <x:v>Có tài khoản giới hạn quyền.</x:v>
      </x:c>
      <x:c r="E44" s="50" t="str">
        <x:v>1. Đăng nhập tài khoản giới hạn.
2. Quan sát menu và truy cập trực tiếp URL bị cấm.</x:v>
      </x:c>
      <x:c r="F44" s="50" t="str">
        <x:v>Menu bị ẩn/disable hoặc trang chặn truy cập đúng quyền.</x:v>
      </x:c>
      <x:c r="G44" s="50" t="str">
        <x:v>Critical</x:v>
      </x:c>
      <x:c r="H44" s="50" t="str">
        <x:v>P0</x:v>
      </x:c>
      <x:c r="I44" s="50" t="str">
        <x:v>Permission</x:v>
      </x:c>
      <x:c r="J44" s="50" t="str">
        <x:v>Need business requirement</x:v>
      </x:c>
      <x:c r="K44" s="50" t="str"/>
      <x:c r="L44" s="50" t="str">
        <x:v>Not Run</x:v>
      </x:c>
      <x:c r="M44" s="50" t="str"/>
      <x:c r="N44" s="50" t="str"/>
    </x:row>
  </x:sheetData>
  <x:mergeCells>
    <x:mergeCell ref="A1:N1"/>
    <x:mergeCell ref="A2:N2"/>
  </x:mergeCells>
  <x:conditionalFormatting sqref="L5:L44">
    <x:cfRule type="expression" dxfId="27" priority="1">
      <x:formula>L5="Pass"</x:formula>
    </x:cfRule>
    <x:cfRule type="expression" dxfId="28" priority="2">
      <x:formula>L5="Fail"</x:formula>
    </x:cfRule>
    <x:cfRule type="expression" dxfId="29" priority="3">
      <x:formula>L5="Blocked"</x:formula>
    </x:cfRule>
    <x:cfRule type="expression" dxfId="30" priority="4">
      <x:formula>L5="Skipped"</x:formula>
    </x:cfRule>
    <x:cfRule type="expression" dxfId="31" priority="5">
      <x:formula>L5="Not Run"</x:formula>
    </x:cfRule>
  </x:conditionalFormatting>
  <x:conditionalFormatting sqref="G5:G44">
    <x:cfRule type="expression" dxfId="32" priority="6">
      <x:formula>G5="Critical"</x:formula>
    </x:cfRule>
    <x:cfRule type="expression" dxfId="33" priority="7">
      <x:formula>G5="High"</x:formula>
    </x:cfRule>
    <x:cfRule type="expression" dxfId="34" priority="8">
      <x:formula>G5="Medium"</x:formula>
    </x:cfRule>
    <x:cfRule type="expression" dxfId="35" priority="9">
      <x:formula>G5="Low"</x:formula>
    </x:cfRule>
  </x:conditionalFormatting>
  <x:dataValidations count="5">
    <x:dataValidation type="list" sqref="G5:G44">
      <x:formula1>"Critical,High,Medium,Low"</x:formula1>
    </x:dataValidation>
    <x:dataValidation type="list" sqref="H5:H44">
      <x:formula1>"P0,P1,P2,P3"</x:formula1>
    </x:dataValidation>
    <x:dataValidation type="list" sqref="I5:I44">
      <x:formula1>"Functional,UI,Navigation,Validation,Negative,Boundary,Data Integrity,Download,Session,Permission,Responsive,Accessibility,Recovery,Security"</x:formula1>
    </x:dataValidation>
    <x:dataValidation type="list" sqref="J5:J44">
      <x:formula1>"Automate,Need more DOM,Need API/Database,Need business requirement,Need API/Network simulation,Manual"</x:formula1>
    </x:dataValidation>
    <x:dataValidation type="list" sqref="L5:L44">
      <x:formula1>"Not Run,Pass,Fail,Blocked,Skipped"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7196cab49b40b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42" hidden="0" customWidth="1"/>
    <x:col min="4" max="4" width="38" hidden="0" customWidth="1"/>
    <x:col min="5" max="5" width="55" hidden="0" customWidth="1"/>
    <x:col min="6" max="6" width="55" hidden="0" customWidth="1"/>
    <x:col min="7" max="7" width="11" hidden="0" customWidth="1"/>
    <x:col min="8" max="8" width="9" hidden="0" customWidth="1"/>
    <x:col min="9" max="9" width="18" hidden="0" customWidth="1"/>
    <x:col min="10" max="10" width="24" hidden="0" customWidth="1"/>
    <x:col min="11" max="11" width="38" hidden="0" customWidth="1"/>
    <x:col min="12" max="12" width="12" hidden="0" customWidth="1"/>
    <x:col min="13" max="13" width="16" hidden="0" customWidth="1"/>
    <x:col min="14" max="14" width="36" hidden="0" customWidth="1"/>
  </x:cols>
  <x:sheetData>
    <x:row r="1" ht="30" customHeight="1">
      <x:c r="A1" s="5" t="str">
        <x:v>OVERVIEW CARDS &amp; DRAWER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3" t="str">
        <x:v>36 testcase thuộc module Overview Cards &amp; Drawer.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2" customHeight="1">
      <x:c r="A4" s="45" t="str">
        <x:v>Test Case ID</x:v>
      </x:c>
      <x:c r="B4" s="45" t="str">
        <x:v>Module</x:v>
      </x:c>
      <x:c r="C4" s="45" t="str">
        <x:v>Test Scenario</x:v>
      </x:c>
      <x:c r="D4" s="45" t="str">
        <x:v>Precondition</x:v>
      </x:c>
      <x:c r="E4" s="45" t="str">
        <x:v>Test Steps</x:v>
      </x:c>
      <x:c r="F4" s="45" t="str">
        <x:v>Expected Result</x:v>
      </x:c>
      <x:c r="G4" s="45" t="str">
        <x:v>Severity</x:v>
      </x:c>
      <x:c r="H4" s="45" t="str">
        <x:v>Priority</x:v>
      </x:c>
      <x:c r="I4" s="45" t="str">
        <x:v>Test Type</x:v>
      </x:c>
      <x:c r="J4" s="45" t="str">
        <x:v>Automation Feasibility</x:v>
      </x:c>
      <x:c r="K4" s="45" t="str">
        <x:v>Actual Result</x:v>
      </x:c>
      <x:c r="L4" s="45" t="str">
        <x:v>Status</x:v>
      </x:c>
      <x:c r="M4" s="45" t="str">
        <x:v>Tester</x:v>
      </x:c>
      <x:c r="N4" s="45" t="str">
        <x:v>Notes / DOM Evidence</x:v>
      </x:c>
    </x:row>
    <x:row r="5" ht="72" customHeight="1">
      <x:c r="A5" s="50" t="str">
        <x:v>OVD-001</x:v>
      </x:c>
      <x:c r="B5" s="50" t="str">
        <x:v>Overview Cards &amp; Drawer</x:v>
      </x:c>
      <x:c r="C5" s="50" t="str">
        <x:v>Hiển thị và đọc số liệu card Đơn dịch vụ</x:v>
      </x:c>
      <x:c r="D5" s="50" t="str">
        <x:v>Có tài khoản hợp lệ; đã đăng nhập CMS; nhóm Vua Thợ được phép truy cập. Đang ở trang Dashboard.</x:v>
      </x:c>
      <x:c r="E5" s="50" t="str">
        <x:v>1. Tìm card theo heading “Đơn dịch vụ”.
2. Đọc giá trị chính.
3. Loại dấu phân cách hàng nghìn và parse số.</x:v>
      </x:c>
      <x:c r="F5" s="50" t="str">
        <x:v>Card hiển thị; giá trị parse được và không âm; không hiển thị NaN/Infinity.</x:v>
      </x:c>
      <x:c r="G5" s="50" t="str">
        <x:v>High</x:v>
      </x:c>
      <x:c r="H5" s="50" t="str">
        <x:v>P1</x:v>
      </x:c>
      <x:c r="I5" s="50" t="str">
        <x:v>Data Integrity</x:v>
      </x:c>
      <x:c r="J5" s="50" t="str">
        <x:v>Automate</x:v>
      </x:c>
      <x:c r="K5" s="50" t="str"/>
      <x:c r="L5" s="50" t="str">
        <x:v>Not Run</x:v>
      </x:c>
      <x:c r="M5" s="50" t="str"/>
      <x:c r="N5" s="50" t="str"/>
    </x:row>
    <x:row r="6" ht="72" customHeight="1">
      <x:c r="A6" s="50" t="str">
        <x:v>OVD-002</x:v>
      </x:c>
      <x:c r="B6" s="50" t="str">
        <x:v>Overview Cards &amp; Drawer</x:v>
      </x:c>
      <x:c r="C6" s="50" t="str">
        <x:v>Hiển thị và đọc số liệu card Số lượng người dùng</x:v>
      </x:c>
      <x:c r="D6" s="50" t="str">
        <x:v>Có tài khoản hợp lệ; đã đăng nhập CMS; nhóm Vua Thợ được phép truy cập. Đang ở trang Dashboard.</x:v>
      </x:c>
      <x:c r="E6" s="50" t="str">
        <x:v>1. Tìm card theo heading “Số lượng người dùng”.
2. Đọc giá trị chính.
3. Loại dấu phân cách hàng nghìn và parse số.</x:v>
      </x:c>
      <x:c r="F6" s="50" t="str">
        <x:v>Card hiển thị; giá trị parse được và không âm; không hiển thị NaN/Infinity.</x:v>
      </x:c>
      <x:c r="G6" s="50" t="str">
        <x:v>High</x:v>
      </x:c>
      <x:c r="H6" s="50" t="str">
        <x:v>P1</x:v>
      </x:c>
      <x:c r="I6" s="50" t="str">
        <x:v>Data Integrity</x:v>
      </x:c>
      <x:c r="J6" s="50" t="str">
        <x:v>Automate</x:v>
      </x:c>
      <x:c r="K6" s="50" t="str"/>
      <x:c r="L6" s="50" t="str">
        <x:v>Not Run</x:v>
      </x:c>
      <x:c r="M6" s="50" t="str"/>
      <x:c r="N6" s="50" t="str"/>
    </x:row>
    <x:row r="7" ht="72" customHeight="1">
      <x:c r="A7" s="50" t="str">
        <x:v>OVD-003</x:v>
      </x:c>
      <x:c r="B7" s="50" t="str">
        <x:v>Overview Cards &amp; Drawer</x:v>
      </x:c>
      <x:c r="C7" s="50" t="str">
        <x:v>Hiển thị và đọc số liệu card Số lượng thợ</x:v>
      </x:c>
      <x:c r="D7" s="50" t="str">
        <x:v>Có tài khoản hợp lệ; đã đăng nhập CMS; nhóm Vua Thợ được phép truy cập. Đang ở trang Dashboard.</x:v>
      </x:c>
      <x:c r="E7" s="50" t="str">
        <x:v>1. Tìm card theo heading “Số lượng thợ”.
2. Đọc giá trị chính.
3. Loại dấu phân cách hàng nghìn và parse số.</x:v>
      </x:c>
      <x:c r="F7" s="50" t="str">
        <x:v>Card hiển thị; giá trị parse được và không âm; không hiển thị NaN/Infinity.</x:v>
      </x:c>
      <x:c r="G7" s="50" t="str">
        <x:v>High</x:v>
      </x:c>
      <x:c r="H7" s="50" t="str">
        <x:v>P1</x:v>
      </x:c>
      <x:c r="I7" s="50" t="str">
        <x:v>Data Integrity</x:v>
      </x:c>
      <x:c r="J7" s="50" t="str">
        <x:v>Automate</x:v>
      </x:c>
      <x:c r="K7" s="50" t="str"/>
      <x:c r="L7" s="50" t="str">
        <x:v>Not Run</x:v>
      </x:c>
      <x:c r="M7" s="50" t="str"/>
      <x:c r="N7" s="50" t="str"/>
    </x:row>
    <x:row r="8" ht="72" customHeight="1">
      <x:c r="A8" s="50" t="str">
        <x:v>OVD-004</x:v>
      </x:c>
      <x:c r="B8" s="50" t="str">
        <x:v>Overview Cards &amp; Drawer</x:v>
      </x:c>
      <x:c r="C8" s="50" t="str">
        <x:v>Hiển thị và đọc số liệu card Nghiệp vụ</x:v>
      </x:c>
      <x:c r="D8" s="50" t="str">
        <x:v>Có tài khoản hợp lệ; đã đăng nhập CMS; nhóm Vua Thợ được phép truy cập. Đang ở trang Dashboard.</x:v>
      </x:c>
      <x:c r="E8" s="50" t="str">
        <x:v>1. Tìm card theo heading “Nghiệp vụ”.
2. Đọc giá trị chính.
3. Loại dấu phân cách hàng nghìn và parse số.</x:v>
      </x:c>
      <x:c r="F8" s="50" t="str">
        <x:v>Card hiển thị; giá trị parse được và không âm; không hiển thị NaN/Infinity.</x:v>
      </x:c>
      <x:c r="G8" s="50" t="str">
        <x:v>High</x:v>
      </x:c>
      <x:c r="H8" s="50" t="str">
        <x:v>P1</x:v>
      </x:c>
      <x:c r="I8" s="50" t="str">
        <x:v>Data Integrity</x:v>
      </x:c>
      <x:c r="J8" s="50" t="str">
        <x:v>Automate</x:v>
      </x:c>
      <x:c r="K8" s="50" t="str"/>
      <x:c r="L8" s="50" t="str">
        <x:v>Not Run</x:v>
      </x:c>
      <x:c r="M8" s="50" t="str"/>
      <x:c r="N8" s="50" t="str"/>
    </x:row>
    <x:row r="9" ht="72" customHeight="1">
      <x:c r="A9" s="50" t="str">
        <x:v>OVD-005</x:v>
      </x:c>
      <x:c r="B9" s="50" t="str">
        <x:v>Overview Cards &amp; Drawer</x:v>
      </x:c>
      <x:c r="C9" s="50" t="str">
        <x:v>Hiển thị và đọc số liệu card Ngành nghề</x:v>
      </x:c>
      <x:c r="D9" s="50" t="str">
        <x:v>Có tài khoản hợp lệ; đã đăng nhập CMS; nhóm Vua Thợ được phép truy cập. Đang ở trang Dashboard.</x:v>
      </x:c>
      <x:c r="E9" s="50" t="str">
        <x:v>1. Tìm card theo heading “Ngành nghề”.
2. Đọc giá trị chính.
3. Loại dấu phân cách hàng nghìn và parse số.</x:v>
      </x:c>
      <x:c r="F9" s="50" t="str">
        <x:v>Card hiển thị; giá trị parse được và không âm; không hiển thị NaN/Infinity.</x:v>
      </x:c>
      <x:c r="G9" s="50" t="str">
        <x:v>High</x:v>
      </x:c>
      <x:c r="H9" s="50" t="str">
        <x:v>P1</x:v>
      </x:c>
      <x:c r="I9" s="50" t="str">
        <x:v>Data Integrity</x:v>
      </x:c>
      <x:c r="J9" s="50" t="str">
        <x:v>Automate</x:v>
      </x:c>
      <x:c r="K9" s="50" t="str"/>
      <x:c r="L9" s="50" t="str">
        <x:v>Not Run</x:v>
      </x:c>
      <x:c r="M9" s="50" t="str"/>
      <x:c r="N9" s="50" t="str"/>
    </x:row>
    <x:row r="10" ht="72" customHeight="1">
      <x:c r="A10" s="50" t="str">
        <x:v>OVD-006</x:v>
      </x:c>
      <x:c r="B10" s="50" t="str">
        <x:v>Overview Cards &amp; Drawer</x:v>
      </x:c>
      <x:c r="C10" s="50" t="str">
        <x:v>Hiển thị và đọc số liệu card Nền tảng Vua Thợ</x:v>
      </x:c>
      <x:c r="D10" s="50" t="str">
        <x:v>Có tài khoản hợp lệ; đã đăng nhập CMS; nhóm Vua Thợ được phép truy cập. Đang ở trang Dashboard.</x:v>
      </x:c>
      <x:c r="E10" s="50" t="str">
        <x:v>1. Tìm card theo heading “Nền tảng Vua Thợ”.
2. Đọc giá trị chính.
3. Loại dấu phân cách hàng nghìn và parse số.</x:v>
      </x:c>
      <x:c r="F10" s="50" t="str">
        <x:v>Card hiển thị; giá trị parse được và không âm; không hiển thị NaN/Infinity.</x:v>
      </x:c>
      <x:c r="G10" s="50" t="str">
        <x:v>High</x:v>
      </x:c>
      <x:c r="H10" s="50" t="str">
        <x:v>P1</x:v>
      </x:c>
      <x:c r="I10" s="50" t="str">
        <x:v>Data Integrity</x:v>
      </x:c>
      <x:c r="J10" s="50" t="str">
        <x:v>Automate</x:v>
      </x:c>
      <x:c r="K10" s="50" t="str"/>
      <x:c r="L10" s="50" t="str">
        <x:v>Not Run</x:v>
      </x:c>
      <x:c r="M10" s="50" t="str"/>
      <x:c r="N10" s="50" t="str"/>
    </x:row>
    <x:row r="11" ht="72" customHeight="1">
      <x:c r="A11" s="50" t="str">
        <x:v>OVD-007</x:v>
      </x:c>
      <x:c r="B11" s="50" t="str">
        <x:v>Overview Cards &amp; Drawer</x:v>
      </x:c>
      <x:c r="C11" s="50" t="str">
        <x:v>Click card Đơn dịch vụ mở chi tiết</x:v>
      </x:c>
      <x:c r="D11" s="50" t="str">
        <x:v>Có tài khoản hợp lệ; đã đăng nhập CMS; nhóm Vua Thợ được phép truy cập. Đang ở trang Dashboard.</x:v>
      </x:c>
      <x:c r="E11" s="50" t="str">
        <x:v>1. Click card “Đơn dịch vụ”.
2. Chờ overlay/drawer đổi sang trạng thái mở.
3. Kiểm tra tiêu đề và nội dung.</x:v>
      </x:c>
      <x:c r="F11" s="50" t="str">
        <x:v>Drawer/chi tiết mở đúng một lần và gắn với card vừa chọn; nội dung không dùng dữ liệu stale.</x:v>
      </x:c>
      <x:c r="G11" s="50" t="str">
        <x:v>High</x:v>
      </x:c>
      <x:c r="H11" s="50" t="str">
        <x:v>P1</x:v>
      </x:c>
      <x:c r="I11" s="50" t="str">
        <x:v>Functional</x:v>
      </x:c>
      <x:c r="J11" s="50" t="str">
        <x:v>Need more DOM</x:v>
      </x:c>
      <x:c r="K11" s="50" t="str"/>
      <x:c r="L11" s="50" t="str">
        <x:v>Not Run</x:v>
      </x:c>
      <x:c r="M11" s="50" t="str"/>
      <x:c r="N11" s="50" t="str"/>
    </x:row>
    <x:row r="12" ht="72" customHeight="1">
      <x:c r="A12" s="50" t="str">
        <x:v>OVD-008</x:v>
      </x:c>
      <x:c r="B12" s="50" t="str">
        <x:v>Overview Cards &amp; Drawer</x:v>
      </x:c>
      <x:c r="C12" s="50" t="str">
        <x:v>Click card Số lượng người dùng mở chi tiết</x:v>
      </x:c>
      <x:c r="D12" s="50" t="str">
        <x:v>Có tài khoản hợp lệ; đã đăng nhập CMS; nhóm Vua Thợ được phép truy cập. Đang ở trang Dashboard.</x:v>
      </x:c>
      <x:c r="E12" s="50" t="str">
        <x:v>1. Click card “Số lượng người dùng”.
2. Chờ overlay/drawer đổi sang trạng thái mở.
3. Kiểm tra tiêu đề và nội dung.</x:v>
      </x:c>
      <x:c r="F12" s="50" t="str">
        <x:v>Drawer/chi tiết mở đúng một lần và gắn với card vừa chọn; nội dung không dùng dữ liệu stale.</x:v>
      </x:c>
      <x:c r="G12" s="50" t="str">
        <x:v>High</x:v>
      </x:c>
      <x:c r="H12" s="50" t="str">
        <x:v>P1</x:v>
      </x:c>
      <x:c r="I12" s="50" t="str">
        <x:v>Functional</x:v>
      </x:c>
      <x:c r="J12" s="50" t="str">
        <x:v>Need more DOM</x:v>
      </x:c>
      <x:c r="K12" s="50" t="str"/>
      <x:c r="L12" s="50" t="str">
        <x:v>Not Run</x:v>
      </x:c>
      <x:c r="M12" s="50" t="str"/>
      <x:c r="N12" s="50" t="str"/>
    </x:row>
    <x:row r="13" ht="72" customHeight="1">
      <x:c r="A13" s="50" t="str">
        <x:v>OVD-009</x:v>
      </x:c>
      <x:c r="B13" s="50" t="str">
        <x:v>Overview Cards &amp; Drawer</x:v>
      </x:c>
      <x:c r="C13" s="50" t="str">
        <x:v>Click card Số lượng thợ mở chi tiết</x:v>
      </x:c>
      <x:c r="D13" s="50" t="str">
        <x:v>Có tài khoản hợp lệ; đã đăng nhập CMS; nhóm Vua Thợ được phép truy cập. Đang ở trang Dashboard.</x:v>
      </x:c>
      <x:c r="E13" s="50" t="str">
        <x:v>1. Click card “Số lượng thợ”.
2. Chờ overlay/drawer đổi sang trạng thái mở.
3. Kiểm tra tiêu đề và nội dung.</x:v>
      </x:c>
      <x:c r="F13" s="50" t="str">
        <x:v>Drawer/chi tiết mở đúng một lần và gắn với card vừa chọn; nội dung không dùng dữ liệu stale.</x:v>
      </x:c>
      <x:c r="G13" s="50" t="str">
        <x:v>High</x:v>
      </x:c>
      <x:c r="H13" s="50" t="str">
        <x:v>P1</x:v>
      </x:c>
      <x:c r="I13" s="50" t="str">
        <x:v>Functional</x:v>
      </x:c>
      <x:c r="J13" s="50" t="str">
        <x:v>Need more DOM</x:v>
      </x:c>
      <x:c r="K13" s="50" t="str"/>
      <x:c r="L13" s="50" t="str">
        <x:v>Not Run</x:v>
      </x:c>
      <x:c r="M13" s="50" t="str"/>
      <x:c r="N13" s="50" t="str"/>
    </x:row>
    <x:row r="14" ht="72" customHeight="1">
      <x:c r="A14" s="50" t="str">
        <x:v>OVD-010</x:v>
      </x:c>
      <x:c r="B14" s="50" t="str">
        <x:v>Overview Cards &amp; Drawer</x:v>
      </x:c>
      <x:c r="C14" s="50" t="str">
        <x:v>Click card Nghiệp vụ mở chi tiết</x:v>
      </x:c>
      <x:c r="D14" s="50" t="str">
        <x:v>Có tài khoản hợp lệ; đã đăng nhập CMS; nhóm Vua Thợ được phép truy cập. Đang ở trang Dashboard.</x:v>
      </x:c>
      <x:c r="E14" s="50" t="str">
        <x:v>1. Click card “Nghiệp vụ”.
2. Chờ overlay/drawer đổi sang trạng thái mở.
3. Kiểm tra tiêu đề và nội dung.</x:v>
      </x:c>
      <x:c r="F14" s="50" t="str">
        <x:v>Drawer/chi tiết mở đúng một lần và gắn với card vừa chọn; nội dung không dùng dữ liệu stale.</x:v>
      </x:c>
      <x:c r="G14" s="50" t="str">
        <x:v>High</x:v>
      </x:c>
      <x:c r="H14" s="50" t="str">
        <x:v>P1</x:v>
      </x:c>
      <x:c r="I14" s="50" t="str">
        <x:v>Functional</x:v>
      </x:c>
      <x:c r="J14" s="50" t="str">
        <x:v>Need more DOM</x:v>
      </x:c>
      <x:c r="K14" s="50" t="str"/>
      <x:c r="L14" s="50" t="str">
        <x:v>Not Run</x:v>
      </x:c>
      <x:c r="M14" s="50" t="str"/>
      <x:c r="N14" s="50" t="str"/>
    </x:row>
    <x:row r="15" ht="72" customHeight="1">
      <x:c r="A15" s="50" t="str">
        <x:v>OVD-011</x:v>
      </x:c>
      <x:c r="B15" s="50" t="str">
        <x:v>Overview Cards &amp; Drawer</x:v>
      </x:c>
      <x:c r="C15" s="50" t="str">
        <x:v>Click card Ngành nghề mở chi tiết</x:v>
      </x:c>
      <x:c r="D15" s="50" t="str">
        <x:v>Có tài khoản hợp lệ; đã đăng nhập CMS; nhóm Vua Thợ được phép truy cập. Đang ở trang Dashboard.</x:v>
      </x:c>
      <x:c r="E15" s="50" t="str">
        <x:v>1. Click card “Ngành nghề”.
2. Chờ overlay/drawer đổi sang trạng thái mở.
3. Kiểm tra tiêu đề và nội dung.</x:v>
      </x:c>
      <x:c r="F15" s="50" t="str">
        <x:v>Drawer/chi tiết mở đúng một lần và gắn với card vừa chọn; nội dung không dùng dữ liệu stale.</x:v>
      </x:c>
      <x:c r="G15" s="50" t="str">
        <x:v>High</x:v>
      </x:c>
      <x:c r="H15" s="50" t="str">
        <x:v>P1</x:v>
      </x:c>
      <x:c r="I15" s="50" t="str">
        <x:v>Functional</x:v>
      </x:c>
      <x:c r="J15" s="50" t="str">
        <x:v>Need more DOM</x:v>
      </x:c>
      <x:c r="K15" s="50" t="str"/>
      <x:c r="L15" s="50" t="str">
        <x:v>Not Run</x:v>
      </x:c>
      <x:c r="M15" s="50" t="str"/>
      <x:c r="N15" s="50" t="str"/>
    </x:row>
    <x:row r="16" ht="72" customHeight="1">
      <x:c r="A16" s="50" t="str">
        <x:v>OVD-012</x:v>
      </x:c>
      <x:c r="B16" s="50" t="str">
        <x:v>Overview Cards &amp; Drawer</x:v>
      </x:c>
      <x:c r="C16" s="50" t="str">
        <x:v>Click card Nền tảng Vua Thợ mở chi tiết</x:v>
      </x:c>
      <x:c r="D16" s="50" t="str">
        <x:v>Có tài khoản hợp lệ; đã đăng nhập CMS; nhóm Vua Thợ được phép truy cập. Đang ở trang Dashboard.</x:v>
      </x:c>
      <x:c r="E16" s="50" t="str">
        <x:v>1. Click card “Nền tảng Vua Thợ”.
2. Chờ overlay/drawer đổi sang trạng thái mở.
3. Kiểm tra tiêu đề và nội dung.</x:v>
      </x:c>
      <x:c r="F16" s="50" t="str">
        <x:v>Drawer/chi tiết mở đúng một lần và gắn với card vừa chọn; nội dung không dùng dữ liệu stale.</x:v>
      </x:c>
      <x:c r="G16" s="50" t="str">
        <x:v>High</x:v>
      </x:c>
      <x:c r="H16" s="50" t="str">
        <x:v>P1</x:v>
      </x:c>
      <x:c r="I16" s="50" t="str">
        <x:v>Functional</x:v>
      </x:c>
      <x:c r="J16" s="50" t="str">
        <x:v>Need more DOM</x:v>
      </x:c>
      <x:c r="K16" s="50" t="str"/>
      <x:c r="L16" s="50" t="str">
        <x:v>Not Run</x:v>
      </x:c>
      <x:c r="M16" s="50" t="str"/>
      <x:c r="N16" s="50" t="str"/>
    </x:row>
    <x:row r="17" ht="72" customHeight="1">
      <x:c r="A17" s="50" t="str">
        <x:v>OVD-013</x:v>
      </x:c>
      <x:c r="B17" s="50" t="str">
        <x:v>Overview Cards &amp; Drawer</x:v>
      </x:c>
      <x:c r="C17" s="50" t="str">
        <x:v>Kiểm tra số người dùng đã KYC không vượt tổng</x:v>
      </x:c>
      <x:c r="D17" s="50" t="str">
        <x:v>Có tài khoản hợp lệ; đã đăng nhập CMS; nhóm Vua Thợ được phép truy cập. Đang ở trang Dashboard.</x:v>
      </x:c>
      <x:c r="E17" s="50" t="str">
        <x:v>1. Đọc tổng người dùng và số đã KYC.
2. Parse số.
3. So sánh.</x:v>
      </x:c>
      <x:c r="F17" s="50" t="str">
        <x:v>0 ≤ số đã KYC ≤ tổng người dùng.</x:v>
      </x:c>
      <x:c r="G17" s="50" t="str">
        <x:v>High</x:v>
      </x:c>
      <x:c r="H17" s="50" t="str">
        <x:v>P1</x:v>
      </x:c>
      <x:c r="I17" s="50" t="str">
        <x:v>Data Integrity</x:v>
      </x:c>
      <x:c r="J17" s="50" t="str">
        <x:v>Automate</x:v>
      </x:c>
      <x:c r="K17" s="50" t="str"/>
      <x:c r="L17" s="50" t="str">
        <x:v>Not Run</x:v>
      </x:c>
      <x:c r="M17" s="50" t="str"/>
      <x:c r="N17" s="50" t="str"/>
    </x:row>
    <x:row r="18" ht="72" customHeight="1">
      <x:c r="A18" s="50" t="str">
        <x:v>OVD-014</x:v>
      </x:c>
      <x:c r="B18" s="50" t="str">
        <x:v>Overview Cards &amp; Drawer</x:v>
      </x:c>
      <x:c r="C18" s="50" t="str">
        <x:v>Tính đúng tỷ lệ người dùng đã KYC</x:v>
      </x:c>
      <x:c r="D18" s="50" t="str">
        <x:v>Có tài khoản hợp lệ; đã đăng nhập CMS; nhóm Vua Thợ được phép truy cập. Đang ở trang Dashboard.</x:v>
      </x:c>
      <x:c r="E18" s="50" t="str">
        <x:v>1. Đọc tổng người dùng, số đã KYC và phần trăm UI.
2. Tính KYC/Total*100.
3. So sánh theo quy tắc làm tròn 1 chữ số.</x:v>
      </x:c>
      <x:c r="F18" s="50" t="str">
        <x:v>Phần trăm UI khớp phép tính trong sai số làm tròn; không NaN/Infinity.</x:v>
      </x:c>
      <x:c r="G18" s="50" t="str">
        <x:v>High</x:v>
      </x:c>
      <x:c r="H18" s="50" t="str">
        <x:v>P1</x:v>
      </x:c>
      <x:c r="I18" s="50" t="str">
        <x:v>Data Integrity</x:v>
      </x:c>
      <x:c r="J18" s="50" t="str">
        <x:v>Automate</x:v>
      </x:c>
      <x:c r="K18" s="50" t="str"/>
      <x:c r="L18" s="50" t="str">
        <x:v>Not Run</x:v>
      </x:c>
      <x:c r="M18" s="50" t="str"/>
      <x:c r="N18" s="50" t="str"/>
    </x:row>
    <x:row r="19" ht="72" customHeight="1">
      <x:c r="A19" s="50" t="str">
        <x:v>OVD-015</x:v>
      </x:c>
      <x:c r="B19" s="50" t="str">
        <x:v>Overview Cards &amp; Drawer</x:v>
      </x:c>
      <x:c r="C19" s="50" t="str">
        <x:v>Kiểm tra số thợ đã KYC không vượt tổng</x:v>
      </x:c>
      <x:c r="D19" s="50" t="str">
        <x:v>Có tài khoản hợp lệ; đã đăng nhập CMS; nhóm Vua Thợ được phép truy cập. Đang ở trang Dashboard.</x:v>
      </x:c>
      <x:c r="E19" s="50" t="str">
        <x:v>1. Đọc tổng thợ và số thợ đã KYC.
2. Parse số.
3. So sánh.</x:v>
      </x:c>
      <x:c r="F19" s="50" t="str">
        <x:v>0 ≤ thợ đã KYC ≤ tổng thợ.</x:v>
      </x:c>
      <x:c r="G19" s="50" t="str">
        <x:v>High</x:v>
      </x:c>
      <x:c r="H19" s="50" t="str">
        <x:v>P1</x:v>
      </x:c>
      <x:c r="I19" s="50" t="str">
        <x:v>Data Integrity</x:v>
      </x:c>
      <x:c r="J19" s="50" t="str">
        <x:v>Automate</x:v>
      </x:c>
      <x:c r="K19" s="50" t="str"/>
      <x:c r="L19" s="50" t="str">
        <x:v>Not Run</x:v>
      </x:c>
      <x:c r="M19" s="50" t="str"/>
      <x:c r="N19" s="50" t="str"/>
    </x:row>
    <x:row r="20" ht="72" customHeight="1">
      <x:c r="A20" s="50" t="str">
        <x:v>OVD-016</x:v>
      </x:c>
      <x:c r="B20" s="50" t="str">
        <x:v>Overview Cards &amp; Drawer</x:v>
      </x:c>
      <x:c r="C20" s="50" t="str">
        <x:v>Tính đúng tỷ lệ thợ đã KYC</x:v>
      </x:c>
      <x:c r="D20" s="50" t="str">
        <x:v>Có tài khoản hợp lệ; đã đăng nhập CMS; nhóm Vua Thợ được phép truy cập. Đang ở trang Dashboard.</x:v>
      </x:c>
      <x:c r="E20" s="50" t="str">
        <x:v>1. Đọc tổng thợ, số đã KYC và phần trăm UI.
2. Tính KYC/Total*100.
3. So sánh theo quy tắc làm tròn.</x:v>
      </x:c>
      <x:c r="F20" s="50" t="str">
        <x:v>Phần trăm UI chính xác trong sai số làm tròn.</x:v>
      </x:c>
      <x:c r="G20" s="50" t="str">
        <x:v>High</x:v>
      </x:c>
      <x:c r="H20" s="50" t="str">
        <x:v>P1</x:v>
      </x:c>
      <x:c r="I20" s="50" t="str">
        <x:v>Data Integrity</x:v>
      </x:c>
      <x:c r="J20" s="50" t="str">
        <x:v>Automate</x:v>
      </x:c>
      <x:c r="K20" s="50" t="str"/>
      <x:c r="L20" s="50" t="str">
        <x:v>Not Run</x:v>
      </x:c>
      <x:c r="M20" s="50" t="str"/>
      <x:c r="N20" s="50" t="str"/>
    </x:row>
    <x:row r="21" ht="72" customHeight="1">
      <x:c r="A21" s="50" t="str">
        <x:v>OVD-017</x:v>
      </x:c>
      <x:c r="B21" s="50" t="str">
        <x:v>Overview Cards &amp; Drawer</x:v>
      </x:c>
      <x:c r="C21" s="50" t="str">
        <x:v>Định dạng dấu phân cách hàng nghìn của card</x:v>
      </x:c>
      <x:c r="D21" s="50" t="str">
        <x:v>Có tài khoản hợp lệ; đã đăng nhập CMS; nhóm Vua Thợ được phép truy cập. Đang ở trang Dashboard.</x:v>
      </x:c>
      <x:c r="E21" s="50" t="str">
        <x:v>1. Đọc tất cả giá trị card.
2. Kiểm tra format hiển thị theo locale.
3. Parse về số.</x:v>
      </x:c>
      <x:c r="F21" s="50" t="str">
        <x:v>Các giá trị lớn hiển thị nhất quán và vẫn parse được.</x:v>
      </x:c>
      <x:c r="G21" s="50" t="str">
        <x:v>Medium</x:v>
      </x:c>
      <x:c r="H21" s="50" t="str">
        <x:v>P2</x:v>
      </x:c>
      <x:c r="I21" s="50" t="str">
        <x:v>UI</x:v>
      </x:c>
      <x:c r="J21" s="50" t="str">
        <x:v>Automate</x:v>
      </x:c>
      <x:c r="K21" s="50" t="str"/>
      <x:c r="L21" s="50" t="str">
        <x:v>Not Run</x:v>
      </x:c>
      <x:c r="M21" s="50" t="str"/>
      <x:c r="N21" s="50" t="str"/>
    </x:row>
    <x:row r="22" ht="72" customHeight="1">
      <x:c r="A22" s="50" t="str">
        <x:v>OVD-018</x:v>
      </x:c>
      <x:c r="B22" s="50" t="str">
        <x:v>Overview Cards &amp; Drawer</x:v>
      </x:c>
      <x:c r="C22" s="50" t="str">
        <x:v>Trạng thái drawer đóng mặc định</x:v>
      </x:c>
      <x:c r="D22" s="50" t="str">
        <x:v>Có tài khoản hợp lệ; đã đăng nhập CMS; nhóm Vua Thợ được phép truy cập. Đang ở trang Dashboard.</x:v>
      </x:c>
      <x:c r="E22" s="50" t="str">
        <x:v>1. Mở Dashboard mới.
2. Tìm drawer và overlay.
3. Đọc transform/class/aria.</x:v>
      </x:c>
      <x:c r="F22" s="50" t="str">
        <x:v>Drawer ở ngoài viewport hoặc trạng thái closed; overlay không chặn thao tác.</x:v>
      </x:c>
      <x:c r="G22" s="50" t="str">
        <x:v>Medium</x:v>
      </x:c>
      <x:c r="H22" s="50" t="str">
        <x:v>P2</x:v>
      </x:c>
      <x:c r="I22" s="50" t="str">
        <x:v>UI</x:v>
      </x:c>
      <x:c r="J22" s="50" t="str">
        <x:v>Automate</x:v>
      </x:c>
      <x:c r="K22" s="50" t="str"/>
      <x:c r="L22" s="50" t="str">
        <x:v>Not Run</x:v>
      </x:c>
      <x:c r="M22" s="50" t="str"/>
      <x:c r="N22" s="50" t="str">
        <x:v>Drawer tồn tại trong DOM với translate-x-[100%].</x:v>
      </x:c>
    </x:row>
    <x:row r="23" ht="72" customHeight="1">
      <x:c r="A23" s="50" t="str">
        <x:v>OVD-019</x:v>
      </x:c>
      <x:c r="B23" s="50" t="str">
        <x:v>Overview Cards &amp; Drawer</x:v>
      </x:c>
      <x:c r="C23" s="50" t="str">
        <x:v>Đóng drawer bằng nút X</x:v>
      </x:c>
      <x:c r="D23" s="50" t="str">
        <x:v>Có tài khoản hợp lệ; đã đăng nhập CMS; nhóm Vua Thợ được phép truy cập. Đang ở trang Dashboard.</x:v>
      </x:c>
      <x:c r="E23" s="50" t="str">
        <x:v>1. Mở một card.
2. Click nút đóng trên drawer.
3. Chờ animation.</x:v>
      </x:c>
      <x:c r="F23" s="50" t="str">
        <x:v>Drawer đóng; overlay biến mất; focus quay lại card phù hợp.</x:v>
      </x:c>
      <x:c r="G23" s="50" t="str">
        <x:v>High</x:v>
      </x:c>
      <x:c r="H23" s="50" t="str">
        <x:v>P1</x:v>
      </x:c>
      <x:c r="I23" s="50" t="str">
        <x:v>Functional</x:v>
      </x:c>
      <x:c r="J23" s="50" t="str">
        <x:v>Need more DOM</x:v>
      </x:c>
      <x:c r="K23" s="50" t="str"/>
      <x:c r="L23" s="50" t="str">
        <x:v>Not Run</x:v>
      </x:c>
      <x:c r="M23" s="50" t="str"/>
      <x:c r="N23" s="50" t="str"/>
    </x:row>
    <x:row r="24" ht="72" customHeight="1">
      <x:c r="A24" s="50" t="str">
        <x:v>OVD-020</x:v>
      </x:c>
      <x:c r="B24" s="50" t="str">
        <x:v>Overview Cards &amp; Drawer</x:v>
      </x:c>
      <x:c r="C24" s="50" t="str">
        <x:v>Đóng drawer bằng nút Hủy</x:v>
      </x:c>
      <x:c r="D24" s="50" t="str">
        <x:v>Có tài khoản hợp lệ; đã đăng nhập CMS; nhóm Vua Thợ được phép truy cập. Đang ở trang Dashboard.</x:v>
      </x:c>
      <x:c r="E24" s="50" t="str">
        <x:v>1. Mở một card.
2. Click Hủy.
3. Kiểm tra trạng thái drawer.</x:v>
      </x:c>
      <x:c r="F24" s="50" t="str">
        <x:v>Drawer đóng mà không thay đổi dữ liệu.</x:v>
      </x:c>
      <x:c r="G24" s="50" t="str">
        <x:v>High</x:v>
      </x:c>
      <x:c r="H24" s="50" t="str">
        <x:v>P1</x:v>
      </x:c>
      <x:c r="I24" s="50" t="str">
        <x:v>Functional</x:v>
      </x:c>
      <x:c r="J24" s="50" t="str">
        <x:v>Need more DOM</x:v>
      </x:c>
      <x:c r="K24" s="50" t="str"/>
      <x:c r="L24" s="50" t="str">
        <x:v>Not Run</x:v>
      </x:c>
      <x:c r="M24" s="50" t="str"/>
      <x:c r="N24" s="50" t="str"/>
    </x:row>
    <x:row r="25" ht="72" customHeight="1">
      <x:c r="A25" s="50" t="str">
        <x:v>OVD-021</x:v>
      </x:c>
      <x:c r="B25" s="50" t="str">
        <x:v>Overview Cards &amp; Drawer</x:v>
      </x:c>
      <x:c r="C25" s="50" t="str">
        <x:v>Hành vi nút Xác nhận trong drawer</x:v>
      </x:c>
      <x:c r="D25" s="50" t="str">
        <x:v>Thực hiện trên môi trường test/staging với dữ liệu an toàn.</x:v>
      </x:c>
      <x:c r="E25" s="50" t="str">
        <x:v>1. Mở drawer.
2. Xác định nghiệp vụ của nút Xác nhận.
3. Thực hiện với dữ liệu test an toàn.</x:v>
      </x:c>
      <x:c r="F25" s="50" t="str">
        <x:v>Hành động đúng nghiệp vụ, có thông báo kết quả và không cập nhật nhầm dữ liệu.</x:v>
      </x:c>
      <x:c r="G25" s="50" t="str">
        <x:v>Critical</x:v>
      </x:c>
      <x:c r="H25" s="50" t="str">
        <x:v>P0</x:v>
      </x:c>
      <x:c r="I25" s="50" t="str">
        <x:v>Functional</x:v>
      </x:c>
      <x:c r="J25" s="50" t="str">
        <x:v>Need business requirement</x:v>
      </x:c>
      <x:c r="K25" s="50" t="str"/>
      <x:c r="L25" s="50" t="str">
        <x:v>Not Run</x:v>
      </x:c>
      <x:c r="M25" s="50" t="str"/>
      <x:c r="N25" s="50" t="str"/>
    </x:row>
    <x:row r="26" ht="72" customHeight="1">
      <x:c r="A26" s="50" t="str">
        <x:v>OVD-022</x:v>
      </x:c>
      <x:c r="B26" s="50" t="str">
        <x:v>Overview Cards &amp; Drawer</x:v>
      </x:c>
      <x:c r="C26" s="50" t="str">
        <x:v>Mở card A rồi card B không giữ dữ liệu cũ</x:v>
      </x:c>
      <x:c r="D26" s="50" t="str">
        <x:v>Có tài khoản hợp lệ; đã đăng nhập CMS; nhóm Vua Thợ được phép truy cập. Đang ở trang Dashboard.</x:v>
      </x:c>
      <x:c r="E26" s="50" t="str">
        <x:v>1. Mở card A và ghi nhận nội dung.
2. Đóng drawer.
3. Mở card B.</x:v>
      </x:c>
      <x:c r="F26" s="50" t="str">
        <x:v>Tiêu đề/nội dung cập nhật theo card B; không còn dữ liệu card A.</x:v>
      </x:c>
      <x:c r="G26" s="50" t="str">
        <x:v>High</x:v>
      </x:c>
      <x:c r="H26" s="50" t="str">
        <x:v>P1</x:v>
      </x:c>
      <x:c r="I26" s="50" t="str">
        <x:v>Data Integrity</x:v>
      </x:c>
      <x:c r="J26" s="50" t="str">
        <x:v>Need more DOM</x:v>
      </x:c>
      <x:c r="K26" s="50" t="str"/>
      <x:c r="L26" s="50" t="str">
        <x:v>Not Run</x:v>
      </x:c>
      <x:c r="M26" s="50" t="str"/>
      <x:c r="N26" s="50" t="str"/>
    </x:row>
    <x:row r="27" ht="72" customHeight="1">
      <x:c r="A27" s="50" t="str">
        <x:v>OVD-023</x:v>
      </x:c>
      <x:c r="B27" s="50" t="str">
        <x:v>Overview Cards &amp; Drawer</x:v>
      </x:c>
      <x:c r="C27" s="50" t="str">
        <x:v>Click nhanh nhiều card</x:v>
      </x:c>
      <x:c r="D27" s="50" t="str">
        <x:v>Có tài khoản hợp lệ; đã đăng nhập CMS; nhóm Vua Thợ được phép truy cập. Đang ở trang Dashboard.</x:v>
      </x:c>
      <x:c r="E27" s="50" t="str">
        <x:v>1. Click nhanh lần lượt 2-3 card.
2. Chờ request cuối hoàn tất.
3. Kiểm tra drawer.</x:v>
      </x:c>
      <x:c r="F27" s="50" t="str">
        <x:v>Chỉ một drawer mở; nội dung thuộc card được chọn cuối; không có response cũ ghi đè.</x:v>
      </x:c>
      <x:c r="G27" s="50" t="str">
        <x:v>High</x:v>
      </x:c>
      <x:c r="H27" s="50" t="str">
        <x:v>P1</x:v>
      </x:c>
      <x:c r="I27" s="50" t="str">
        <x:v>Recovery</x:v>
      </x:c>
      <x:c r="J27" s="50" t="str">
        <x:v>Need API/Database</x:v>
      </x:c>
      <x:c r="K27" s="50" t="str"/>
      <x:c r="L27" s="50" t="str">
        <x:v>Not Run</x:v>
      </x:c>
      <x:c r="M27" s="50" t="str"/>
      <x:c r="N27" s="50" t="str"/>
    </x:row>
    <x:row r="28" ht="72" customHeight="1">
      <x:c r="A28" s="50" t="str">
        <x:v>OVD-024</x:v>
      </x:c>
      <x:c r="B28" s="50" t="str">
        <x:v>Overview Cards &amp; Drawer</x:v>
      </x:c>
      <x:c r="C28" s="50" t="str">
        <x:v>Drawer chặn thao tác nền khi mở</x:v>
      </x:c>
      <x:c r="D28" s="50" t="str">
        <x:v>Có tài khoản hợp lệ; đã đăng nhập CMS; nhóm Vua Thợ được phép truy cập. Đang ở trang Dashboard.</x:v>
      </x:c>
      <x:c r="E28" s="50" t="str">
        <x:v>1. Mở drawer.
2. Thử click một card phía sau overlay.</x:v>
      </x:c>
      <x:c r="F28" s="50" t="str">
        <x:v>Nội dung nền không nhận thao tác ngoài mong đợi.</x:v>
      </x:c>
      <x:c r="G28" s="50" t="str">
        <x:v>Medium</x:v>
      </x:c>
      <x:c r="H28" s="50" t="str">
        <x:v>P2</x:v>
      </x:c>
      <x:c r="I28" s="50" t="str">
        <x:v>UI</x:v>
      </x:c>
      <x:c r="J28" s="50" t="str">
        <x:v>Need more DOM</x:v>
      </x:c>
      <x:c r="K28" s="50" t="str"/>
      <x:c r="L28" s="50" t="str">
        <x:v>Not Run</x:v>
      </x:c>
      <x:c r="M28" s="50" t="str"/>
      <x:c r="N28" s="50" t="str"/>
    </x:row>
    <x:row r="29" ht="72" customHeight="1">
      <x:c r="A29" s="50" t="str">
        <x:v>OVD-025</x:v>
      </x:c>
      <x:c r="B29" s="50" t="str">
        <x:v>Overview Cards &amp; Drawer</x:v>
      </x:c>
      <x:c r="C29" s="50" t="str">
        <x:v>Drawer có thể cuộn khi nội dung dài</x:v>
      </x:c>
      <x:c r="D29" s="50" t="str">
        <x:v>Thực hiện trên môi trường test/staging với dữ liệu an toàn.</x:v>
      </x:c>
      <x:c r="E29" s="50" t="str">
        <x:v>1. Mở drawer có nội dung dài.
2. Cuộn đến cuối.
3. Kiểm tra footer Hủy/Xác nhận.</x:v>
      </x:c>
      <x:c r="F29" s="50" t="str">
        <x:v>Nội dung cuộn được; footer không che dữ liệu.</x:v>
      </x:c>
      <x:c r="G29" s="50" t="str">
        <x:v>Low</x:v>
      </x:c>
      <x:c r="H29" s="50" t="str">
        <x:v>P3</x:v>
      </x:c>
      <x:c r="I29" s="50" t="str">
        <x:v>UI</x:v>
      </x:c>
      <x:c r="J29" s="50" t="str">
        <x:v>Need more DOM</x:v>
      </x:c>
      <x:c r="K29" s="50" t="str"/>
      <x:c r="L29" s="50" t="str">
        <x:v>Not Run</x:v>
      </x:c>
      <x:c r="M29" s="50" t="str"/>
      <x:c r="N29" s="50" t="str"/>
    </x:row>
    <x:row r="30" ht="72" customHeight="1">
      <x:c r="A30" s="50" t="str">
        <x:v>OVD-026</x:v>
      </x:c>
      <x:c r="B30" s="50" t="str">
        <x:v>Overview Cards &amp; Drawer</x:v>
      </x:c>
      <x:c r="C30" s="50" t="str">
        <x:v>Card hỗ trợ thao tác bàn phím</x:v>
      </x:c>
      <x:c r="D30" s="50" t="str">
        <x:v>Có tài khoản hợp lệ; đã đăng nhập CMS; nhóm Vua Thợ được phép truy cập. Đang ở trang Dashboard.</x:v>
      </x:c>
      <x:c r="E30" s="50" t="str">
        <x:v>1. Tab đến từng card.
2. Nhấn Enter/Space.
3. Kiểm tra drawer.</x:v>
      </x:c>
      <x:c r="F30" s="50" t="str">
        <x:v>Card nhận focus rõ và kích hoạt đúng bằng bàn phím.</x:v>
      </x:c>
      <x:c r="G30" s="50" t="str">
        <x:v>Medium</x:v>
      </x:c>
      <x:c r="H30" s="50" t="str">
        <x:v>P2</x:v>
      </x:c>
      <x:c r="I30" s="50" t="str">
        <x:v>Accessibility</x:v>
      </x:c>
      <x:c r="J30" s="50" t="str">
        <x:v>Need more DOM</x:v>
      </x:c>
      <x:c r="K30" s="50" t="str"/>
      <x:c r="L30" s="50" t="str">
        <x:v>Not Run</x:v>
      </x:c>
      <x:c r="M30" s="50" t="str"/>
      <x:c r="N30" s="50" t="str"/>
    </x:row>
    <x:row r="31" ht="72" customHeight="1">
      <x:c r="A31" s="50" t="str">
        <x:v>OVD-027</x:v>
      </x:c>
      <x:c r="B31" s="50" t="str">
        <x:v>Overview Cards &amp; Drawer</x:v>
      </x:c>
      <x:c r="C31" s="50" t="str">
        <x:v>Card hiển thị khi giá trị bằng 0</x:v>
      </x:c>
      <x:c r="D31" s="50" t="str">
        <x:v>Thực hiện trên môi trường test/staging với dữ liệu an toàn.</x:v>
      </x:c>
      <x:c r="E31" s="50" t="str">
        <x:v>1. Mock dữ liệu card bằng 0.
2. Mở Dashboard.</x:v>
      </x:c>
      <x:c r="F31" s="50" t="str">
        <x:v>Hiển thị 0 hợp lệ; không coi là thiếu dữ liệu; tỷ lệ không NaN.</x:v>
      </x:c>
      <x:c r="G31" s="50" t="str">
        <x:v>Medium</x:v>
      </x:c>
      <x:c r="H31" s="50" t="str">
        <x:v>P2</x:v>
      </x:c>
      <x:c r="I31" s="50" t="str">
        <x:v>Boundary</x:v>
      </x:c>
      <x:c r="J31" s="50" t="str">
        <x:v>Need API/Database</x:v>
      </x:c>
      <x:c r="K31" s="50" t="str"/>
      <x:c r="L31" s="50" t="str">
        <x:v>Not Run</x:v>
      </x:c>
      <x:c r="M31" s="50" t="str"/>
      <x:c r="N31" s="50" t="str"/>
    </x:row>
    <x:row r="32" ht="72" customHeight="1">
      <x:c r="A32" s="50" t="str">
        <x:v>OVD-028</x:v>
      </x:c>
      <x:c r="B32" s="50" t="str">
        <x:v>Overview Cards &amp; Drawer</x:v>
      </x:c>
      <x:c r="C32" s="50" t="str">
        <x:v>Card hiển thị số rất lớn</x:v>
      </x:c>
      <x:c r="D32" s="50" t="str">
        <x:v>Thực hiện trên môi trường test/staging với dữ liệu an toàn.</x:v>
      </x:c>
      <x:c r="E32" s="50" t="str">
        <x:v>1. Mock số liệu rất lớn.
2. Mở Dashboard ở desktop và tablet.</x:v>
      </x:c>
      <x:c r="F32" s="50" t="str">
        <x:v>Số được format hợp lý, không tràn card.</x:v>
      </x:c>
      <x:c r="G32" s="50" t="str">
        <x:v>Low</x:v>
      </x:c>
      <x:c r="H32" s="50" t="str">
        <x:v>P3</x:v>
      </x:c>
      <x:c r="I32" s="50" t="str">
        <x:v>Boundary</x:v>
      </x:c>
      <x:c r="J32" s="50" t="str">
        <x:v>Need API/Database</x:v>
      </x:c>
      <x:c r="K32" s="50" t="str"/>
      <x:c r="L32" s="50" t="str">
        <x:v>Not Run</x:v>
      </x:c>
      <x:c r="M32" s="50" t="str"/>
      <x:c r="N32" s="50" t="str"/>
    </x:row>
    <x:row r="33" ht="72" customHeight="1">
      <x:c r="A33" s="50" t="str">
        <x:v>GCC-001</x:v>
      </x:c>
      <x:c r="B33" s="50" t="str">
        <x:v>Global Coverage Card</x:v>
      </x:c>
      <x:c r="C33" s="50" t="str">
        <x:v>Hiển thị card Vua Thợ Trên Toàn Cầu</x:v>
      </x:c>
      <x:c r="D33" s="50" t="str">
        <x:v>Có tài khoản hợp lệ; đã đăng nhập CMS; nhóm Vua Thợ được phép truy cập. Đang ở trang Dashboard.</x:v>
      </x:c>
      <x:c r="E33" s="50" t="str">
        <x:v>1. Cuộn đến card.
2. Kiểm tra heading và số quốc gia.</x:v>
      </x:c>
      <x:c r="F33" s="50" t="str">
        <x:v>Card hiển thị đầy đủ với heading và chỉ số quốc gia.</x:v>
      </x:c>
      <x:c r="G33" s="50" t="str">
        <x:v>Medium</x:v>
      </x:c>
      <x:c r="H33" s="50" t="str">
        <x:v>P2</x:v>
      </x:c>
      <x:c r="I33" s="50" t="str">
        <x:v>UI</x:v>
      </x:c>
      <x:c r="J33" s="50" t="str">
        <x:v>Automate</x:v>
      </x:c>
      <x:c r="K33" s="50" t="str"/>
      <x:c r="L33" s="50" t="str">
        <x:v>Not Run</x:v>
      </x:c>
      <x:c r="M33" s="50" t="str"/>
      <x:c r="N33" s="50" t="str"/>
    </x:row>
    <x:row r="34" ht="72" customHeight="1">
      <x:c r="A34" s="50" t="str">
        <x:v>GCC-002</x:v>
      </x:c>
      <x:c r="B34" s="50" t="str">
        <x:v>Global Coverage Card</x:v>
      </x:c>
      <x:c r="C34" s="50" t="str">
        <x:v>Hình bản đồ tải thành công</x:v>
      </x:c>
      <x:c r="D34" s="50" t="str">
        <x:v>Có tài khoản hợp lệ; đã đăng nhập CMS; nhóm Vua Thợ được phép truy cập. Đang ở trang Dashboard.</x:v>
      </x:c>
      <x:c r="E34" s="50" t="str">
        <x:v>1. Tìm img trong card.
2. Kiểm tra alt và naturalWidth.</x:v>
      </x:c>
      <x:c r="F34" s="50" t="str">
        <x:v>Ảnh có alt hợp lệ và naturalWidth &gt; 0.</x:v>
      </x:c>
      <x:c r="G34" s="50" t="str">
        <x:v>Medium</x:v>
      </x:c>
      <x:c r="H34" s="50" t="str">
        <x:v>P2</x:v>
      </x:c>
      <x:c r="I34" s="50" t="str">
        <x:v>UI</x:v>
      </x:c>
      <x:c r="J34" s="50" t="str">
        <x:v>Automate</x:v>
      </x:c>
      <x:c r="K34" s="50" t="str"/>
      <x:c r="L34" s="50" t="str">
        <x:v>Not Run</x:v>
      </x:c>
      <x:c r="M34" s="50" t="str"/>
      <x:c r="N34" s="50" t="str">
        <x:v>DOM có 1 img, alt='map'.</x:v>
      </x:c>
    </x:row>
    <x:row r="35" ht="72" customHeight="1">
      <x:c r="A35" s="50" t="str">
        <x:v>GCC-003</x:v>
      </x:c>
      <x:c r="B35" s="50" t="str">
        <x:v>Global Coverage Card</x:v>
      </x:c>
      <x:c r="C35" s="50" t="str">
        <x:v>Số quốc gia là số dương</x:v>
      </x:c>
      <x:c r="D35" s="50" t="str">
        <x:v>Có tài khoản hợp lệ; đã đăng nhập CMS; nhóm Vua Thợ được phép truy cập. Đang ở trang Dashboard.</x:v>
      </x:c>
      <x:c r="E35" s="50" t="str">
        <x:v>1. Đọc giá trị trước text “Quốc Gia”.
2. Parse số.</x:v>
      </x:c>
      <x:c r="F35" s="50" t="str">
        <x:v>Giá trị là số nguyên &gt; 0.</x:v>
      </x:c>
      <x:c r="G35" s="50" t="str">
        <x:v>Medium</x:v>
      </x:c>
      <x:c r="H35" s="50" t="str">
        <x:v>P2</x:v>
      </x:c>
      <x:c r="I35" s="50" t="str">
        <x:v>Validation</x:v>
      </x:c>
      <x:c r="J35" s="50" t="str">
        <x:v>Automate</x:v>
      </x:c>
      <x:c r="K35" s="50" t="str"/>
      <x:c r="L35" s="50" t="str">
        <x:v>Not Run</x:v>
      </x:c>
      <x:c r="M35" s="50" t="str"/>
      <x:c r="N35" s="50" t="str"/>
    </x:row>
    <x:row r="36" ht="72" customHeight="1">
      <x:c r="A36" s="50" t="str">
        <x:v>GCC-004</x:v>
      </x:c>
      <x:c r="B36" s="50" t="str">
        <x:v>Global Coverage Card</x:v>
      </x:c>
      <x:c r="C36" s="50" t="str">
        <x:v>Click card toàn cầu</x:v>
      </x:c>
      <x:c r="D36" s="50" t="str">
        <x:v>Có tài khoản hợp lệ; đã đăng nhập CMS; nhóm Vua Thợ được phép truy cập. Đang ở trang Dashboard.</x:v>
      </x:c>
      <x:c r="E36" s="50" t="str">
        <x:v>1. Click card.
2. Quan sát URL/drawer/modal.
3. Ghi nhận hành vi thực tế.</x:v>
      </x:c>
      <x:c r="F36" s="50" t="str">
        <x:v>Card phản hồi đúng thiết kế; không tự suy đoán trang đích khi chưa có đặc tả.</x:v>
      </x:c>
      <x:c r="G36" s="50" t="str">
        <x:v>Medium</x:v>
      </x:c>
      <x:c r="H36" s="50" t="str">
        <x:v>P2</x:v>
      </x:c>
      <x:c r="I36" s="50" t="str">
        <x:v>Functional</x:v>
      </x:c>
      <x:c r="J36" s="50" t="str">
        <x:v>Need business requirement</x:v>
      </x:c>
      <x:c r="K36" s="50" t="str"/>
      <x:c r="L36" s="50" t="str">
        <x:v>Not Run</x:v>
      </x:c>
      <x:c r="M36" s="50" t="str"/>
      <x:c r="N36" s="50" t="str"/>
    </x:row>
    <x:row r="37" ht="72" customHeight="1">
      <x:c r="A37" s="50" t="str">
        <x:v>GCC-005</x:v>
      </x:c>
      <x:c r="B37" s="50" t="str">
        <x:v>Global Coverage Card</x:v>
      </x:c>
      <x:c r="C37" s="50" t="str">
        <x:v>Card toàn cầu nhận focus bàn phím</x:v>
      </x:c>
      <x:c r="D37" s="50" t="str">
        <x:v>Có tài khoản hợp lệ; đã đăng nhập CMS; nhóm Vua Thợ được phép truy cập. Đang ở trang Dashboard.</x:v>
      </x:c>
      <x:c r="E37" s="50" t="str">
        <x:v>1. Dùng Tab đến card.
2. Nhấn Enter/Space.</x:v>
      </x:c>
      <x:c r="F37" s="50" t="str">
        <x:v>Có focus rõ và hành vi tương đương click nếu card được thiết kế tương tác.</x:v>
      </x:c>
      <x:c r="G37" s="50" t="str">
        <x:v>Low</x:v>
      </x:c>
      <x:c r="H37" s="50" t="str">
        <x:v>P3</x:v>
      </x:c>
      <x:c r="I37" s="50" t="str">
        <x:v>Accessibility</x:v>
      </x:c>
      <x:c r="J37" s="50" t="str">
        <x:v>Need business requirement</x:v>
      </x:c>
      <x:c r="K37" s="50" t="str"/>
      <x:c r="L37" s="50" t="str">
        <x:v>Not Run</x:v>
      </x:c>
      <x:c r="M37" s="50" t="str"/>
      <x:c r="N37" s="50" t="str"/>
    </x:row>
    <x:row r="38" ht="72" customHeight="1">
      <x:c r="A38" s="50" t="str">
        <x:v>GCC-006</x:v>
      </x:c>
      <x:c r="B38" s="50" t="str">
        <x:v>Global Coverage Card</x:v>
      </x:c>
      <x:c r="C38" s="50" t="str">
        <x:v>Ảnh bản đồ tải lỗi</x:v>
      </x:c>
      <x:c r="D38" s="50" t="str">
        <x:v>Thực hiện trên môi trường test/staging với dữ liệu an toàn.</x:v>
      </x:c>
      <x:c r="E38" s="50" t="str">
        <x:v>1. Chặn request ảnh.
2. Mở Dashboard.</x:v>
      </x:c>
      <x:c r="F38" s="50" t="str">
        <x:v>Có fallback/alt text; layout không vỡ.</x:v>
      </x:c>
      <x:c r="G38" s="50" t="str">
        <x:v>Low</x:v>
      </x:c>
      <x:c r="H38" s="50" t="str">
        <x:v>P3</x:v>
      </x:c>
      <x:c r="I38" s="50" t="str">
        <x:v>Negative</x:v>
      </x:c>
      <x:c r="J38" s="50" t="str">
        <x:v>Need API/Network simulation</x:v>
      </x:c>
      <x:c r="K38" s="50" t="str"/>
      <x:c r="L38" s="50" t="str">
        <x:v>Not Run</x:v>
      </x:c>
      <x:c r="M38" s="50" t="str"/>
      <x:c r="N38" s="50" t="str"/>
    </x:row>
    <x:row r="39" ht="72" customHeight="1">
      <x:c r="A39" s="50" t="str">
        <x:v>GCC-007</x:v>
      </x:c>
      <x:c r="B39" s="50" t="str">
        <x:v>Global Coverage Card</x:v>
      </x:c>
      <x:c r="C39" s="50" t="str">
        <x:v>Số quốc gia bằng 0</x:v>
      </x:c>
      <x:c r="D39" s="50" t="str">
        <x:v>Thực hiện trên môi trường test/staging với dữ liệu an toàn.</x:v>
      </x:c>
      <x:c r="E39" s="50" t="str">
        <x:v>1. Mock giá trị 0.
2. Mở Dashboard.</x:v>
      </x:c>
      <x:c r="F39" s="50" t="str">
        <x:v>Hiển thị 0 đúng định dạng; không xuất hiện text lỗi.</x:v>
      </x:c>
      <x:c r="G39" s="50" t="str">
        <x:v>Low</x:v>
      </x:c>
      <x:c r="H39" s="50" t="str">
        <x:v>P3</x:v>
      </x:c>
      <x:c r="I39" s="50" t="str">
        <x:v>Boundary</x:v>
      </x:c>
      <x:c r="J39" s="50" t="str">
        <x:v>Need API/Database</x:v>
      </x:c>
      <x:c r="K39" s="50" t="str"/>
      <x:c r="L39" s="50" t="str">
        <x:v>Not Run</x:v>
      </x:c>
      <x:c r="M39" s="50" t="str"/>
      <x:c r="N39" s="50" t="str"/>
    </x:row>
    <x:row r="40" ht="72" customHeight="1">
      <x:c r="A40" s="50" t="str">
        <x:v>GCC-008</x:v>
      </x:c>
      <x:c r="B40" s="50" t="str">
        <x:v>Global Coverage Card</x:v>
      </x:c>
      <x:c r="C40" s="50" t="str">
        <x:v>Card toàn cầu responsive</x:v>
      </x:c>
      <x:c r="D40" s="50" t="str">
        <x:v>Có tài khoản hợp lệ; đã đăng nhập CMS; nhóm Vua Thợ được phép truy cập. Đang ở trang Dashboard.</x:v>
      </x:c>
      <x:c r="E40" s="50" t="str">
        <x:v>1. Resize desktop, tablet, mobile.
2. Quan sát ảnh, heading và số.</x:v>
      </x:c>
      <x:c r="F40" s="50" t="str">
        <x:v>Các thành phần không chồng lấn hoặc bị cắt mất.</x:v>
      </x:c>
      <x:c r="G40" s="50" t="str">
        <x:v>Low</x:v>
      </x:c>
      <x:c r="H40" s="50" t="str">
        <x:v>P3</x:v>
      </x:c>
      <x:c r="I40" s="50" t="str">
        <x:v>Responsive</x:v>
      </x:c>
      <x:c r="J40" s="50" t="str">
        <x:v>Automate</x:v>
      </x:c>
      <x:c r="K40" s="50" t="str"/>
      <x:c r="L40" s="50" t="str">
        <x:v>Not Run</x:v>
      </x:c>
      <x:c r="M40" s="50" t="str"/>
      <x:c r="N40" s="50" t="str"/>
    </x:row>
  </x:sheetData>
  <x:mergeCells>
    <x:mergeCell ref="A1:N1"/>
    <x:mergeCell ref="A2:N2"/>
  </x:mergeCells>
  <x:conditionalFormatting sqref="L5:L40">
    <x:cfRule type="expression" dxfId="36" priority="1">
      <x:formula>L5="Pass"</x:formula>
    </x:cfRule>
    <x:cfRule type="expression" dxfId="37" priority="2">
      <x:formula>L5="Fail"</x:formula>
    </x:cfRule>
    <x:cfRule type="expression" dxfId="38" priority="3">
      <x:formula>L5="Blocked"</x:formula>
    </x:cfRule>
    <x:cfRule type="expression" dxfId="39" priority="4">
      <x:formula>L5="Skipped"</x:formula>
    </x:cfRule>
    <x:cfRule type="expression" dxfId="40" priority="5">
      <x:formula>L5="Not Run"</x:formula>
    </x:cfRule>
  </x:conditionalFormatting>
  <x:conditionalFormatting sqref="G5:G40">
    <x:cfRule type="expression" dxfId="41" priority="6">
      <x:formula>G5="Critical"</x:formula>
    </x:cfRule>
    <x:cfRule type="expression" dxfId="42" priority="7">
      <x:formula>G5="High"</x:formula>
    </x:cfRule>
    <x:cfRule type="expression" dxfId="43" priority="8">
      <x:formula>G5="Medium"</x:formula>
    </x:cfRule>
    <x:cfRule type="expression" dxfId="44" priority="9">
      <x:formula>G5="Low"</x:formula>
    </x:cfRule>
  </x:conditionalFormatting>
  <x:dataValidations count="5">
    <x:dataValidation type="list" sqref="G5:G40">
      <x:formula1>"Critical,High,Medium,Low"</x:formula1>
    </x:dataValidation>
    <x:dataValidation type="list" sqref="H5:H40">
      <x:formula1>"P0,P1,P2,P3"</x:formula1>
    </x:dataValidation>
    <x:dataValidation type="list" sqref="I5:I40">
      <x:formula1>"Functional,UI,Navigation,Validation,Negative,Boundary,Data Integrity,Download,Session,Permission,Responsive,Accessibility,Recovery,Security"</x:formula1>
    </x:dataValidation>
    <x:dataValidation type="list" sqref="J5:J40">
      <x:formula1>"Automate,Need more DOM,Need API/Database,Need business requirement,Need API/Network simulation,Manual"</x:formula1>
    </x:dataValidation>
    <x:dataValidation type="list" sqref="L5:L40">
      <x:formula1>"Not Run,Pass,Fail,Blocked,Skipped"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4506639cb649e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42" hidden="0" customWidth="1"/>
    <x:col min="4" max="4" width="38" hidden="0" customWidth="1"/>
    <x:col min="5" max="5" width="55" hidden="0" customWidth="1"/>
    <x:col min="6" max="6" width="55" hidden="0" customWidth="1"/>
    <x:col min="7" max="7" width="11" hidden="0" customWidth="1"/>
    <x:col min="8" max="8" width="9" hidden="0" customWidth="1"/>
    <x:col min="9" max="9" width="18" hidden="0" customWidth="1"/>
    <x:col min="10" max="10" width="24" hidden="0" customWidth="1"/>
    <x:col min="11" max="11" width="38" hidden="0" customWidth="1"/>
    <x:col min="12" max="12" width="12" hidden="0" customWidth="1"/>
    <x:col min="13" max="13" width="16" hidden="0" customWidth="1"/>
    <x:col min="14" max="14" width="36" hidden="0" customWidth="1"/>
  </x:cols>
  <x:sheetData>
    <x:row r="1" ht="30" customHeight="1">
      <x:c r="A1" s="5" t="str">
        <x:v>USER STATISTICS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3" t="str">
        <x:v>48 testcase thuộc module User Statistics.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2" customHeight="1">
      <x:c r="A4" s="45" t="str">
        <x:v>Test Case ID</x:v>
      </x:c>
      <x:c r="B4" s="45" t="str">
        <x:v>Module</x:v>
      </x:c>
      <x:c r="C4" s="45" t="str">
        <x:v>Test Scenario</x:v>
      </x:c>
      <x:c r="D4" s="45" t="str">
        <x:v>Precondition</x:v>
      </x:c>
      <x:c r="E4" s="45" t="str">
        <x:v>Test Steps</x:v>
      </x:c>
      <x:c r="F4" s="45" t="str">
        <x:v>Expected Result</x:v>
      </x:c>
      <x:c r="G4" s="45" t="str">
        <x:v>Severity</x:v>
      </x:c>
      <x:c r="H4" s="45" t="str">
        <x:v>Priority</x:v>
      </x:c>
      <x:c r="I4" s="45" t="str">
        <x:v>Test Type</x:v>
      </x:c>
      <x:c r="J4" s="45" t="str">
        <x:v>Automation Feasibility</x:v>
      </x:c>
      <x:c r="K4" s="45" t="str">
        <x:v>Actual Result</x:v>
      </x:c>
      <x:c r="L4" s="45" t="str">
        <x:v>Status</x:v>
      </x:c>
      <x:c r="M4" s="45" t="str">
        <x:v>Tester</x:v>
      </x:c>
      <x:c r="N4" s="45" t="str">
        <x:v>Notes / DOM Evidence</x:v>
      </x:c>
    </x:row>
    <x:row r="5" ht="72" customHeight="1">
      <x:c r="A5" s="50" t="str">
        <x:v>UST-001</x:v>
      </x:c>
      <x:c r="B5" s="50" t="str">
        <x:v>User Statistics</x:v>
      </x:c>
      <x:c r="C5" s="50" t="str">
        <x:v>Hiển thị section Danh Sách Người Dùng</x:v>
      </x:c>
      <x:c r="D5" s="50" t="str">
        <x:v>Có tài khoản hợp lệ; đã đăng nhập CMS; nhóm Vua Thợ được phép truy cập. Đang ở trang Dashboard.</x:v>
      </x:c>
      <x:c r="E5" s="50" t="str">
        <x:v>1. Cuộn đến section.
2. Kiểm tra heading, bộ lọc kỳ, custom switch, nút Xuất Excel, biểu đồ và bảng thống kê.</x:v>
      </x:c>
      <x:c r="F5" s="50" t="str">
        <x:v>Các thành phần chính hiển thị đầy đủ.</x:v>
      </x:c>
      <x:c r="G5" s="50" t="str">
        <x:v>High</x:v>
      </x:c>
      <x:c r="H5" s="50" t="str">
        <x:v>P1</x:v>
      </x:c>
      <x:c r="I5" s="50" t="str">
        <x:v>UI</x:v>
      </x:c>
      <x:c r="J5" s="50" t="str">
        <x:v>Automate</x:v>
      </x:c>
      <x:c r="K5" s="50" t="str"/>
      <x:c r="L5" s="50" t="str">
        <x:v>Not Run</x:v>
      </x:c>
      <x:c r="M5" s="50" t="str"/>
      <x:c r="N5" s="50" t="str"/>
    </x:row>
    <x:row r="6" ht="72" customHeight="1">
      <x:c r="A6" s="50" t="str">
        <x:v>UST-002</x:v>
      </x:c>
      <x:c r="B6" s="50" t="str">
        <x:v>User Statistics</x:v>
      </x:c>
      <x:c r="C6" s="50" t="str">
        <x:v>Mặc định chọn kỳ Tháng</x:v>
      </x:c>
      <x:c r="D6" s="50" t="str">
        <x:v>Có tài khoản hợp lệ; đã đăng nhập CMS; nhóm Vua Thợ được phép truy cập. Đang ở trang Dashboard.</x:v>
      </x:c>
      <x:c r="E6" s="50" t="str">
        <x:v>1. Mở Dashboard mới.
2. Kiểm tra active state của các nút kỳ.</x:v>
      </x:c>
      <x:c r="F6" s="50" t="str">
        <x:v>Chỉ nút Tháng active; nhãn và khoảng ngày tương ứng tháng hiện tại.</x:v>
      </x:c>
      <x:c r="G6" s="50" t="str">
        <x:v>Medium</x:v>
      </x:c>
      <x:c r="H6" s="50" t="str">
        <x:v>P2</x:v>
      </x:c>
      <x:c r="I6" s="50" t="str">
        <x:v>Functional</x:v>
      </x:c>
      <x:c r="J6" s="50" t="str">
        <x:v>Automate</x:v>
      </x:c>
      <x:c r="K6" s="50" t="str"/>
      <x:c r="L6" s="50" t="str">
        <x:v>Not Run</x:v>
      </x:c>
      <x:c r="M6" s="50" t="str"/>
      <x:c r="N6" s="50" t="str"/>
    </x:row>
    <x:row r="7" ht="72" customHeight="1">
      <x:c r="A7" s="50" t="str">
        <x:v>UST-003</x:v>
      </x:c>
      <x:c r="B7" s="50" t="str">
        <x:v>User Statistics</x:v>
      </x:c>
      <x:c r="C7" s="50" t="str">
        <x:v>Chỉ một kỳ được active</x:v>
      </x:c>
      <x:c r="D7" s="50" t="str">
        <x:v>Có tài khoản hợp lệ; đã đăng nhập CMS; nhóm Vua Thợ được phép truy cập. Đang ở trang Dashboard.</x:v>
      </x:c>
      <x:c r="E7" s="50" t="str">
        <x:v>1. Click lần lượt Ngày, Tuần, Tháng, Quý, Năm.
2. Sau mỗi click đếm nút active.</x:v>
      </x:c>
      <x:c r="F7" s="50" t="str">
        <x:v>Mỗi thời điểm chỉ có một kỳ active.</x:v>
      </x:c>
      <x:c r="G7" s="50" t="str">
        <x:v>High</x:v>
      </x:c>
      <x:c r="H7" s="50" t="str">
        <x:v>P1</x:v>
      </x:c>
      <x:c r="I7" s="50" t="str">
        <x:v>Functional</x:v>
      </x:c>
      <x:c r="J7" s="50" t="str">
        <x:v>Automate</x:v>
      </x:c>
      <x:c r="K7" s="50" t="str"/>
      <x:c r="L7" s="50" t="str">
        <x:v>Not Run</x:v>
      </x:c>
      <x:c r="M7" s="50" t="str"/>
      <x:c r="N7" s="50" t="str"/>
    </x:row>
    <x:row r="8" ht="72" customHeight="1">
      <x:c r="A8" s="50" t="str">
        <x:v>UST-004</x:v>
      </x:c>
      <x:c r="B8" s="50" t="str">
        <x:v>User Statistics</x:v>
      </x:c>
      <x:c r="C8" s="50" t="str">
        <x:v>Chọn kỳ Ngày cho thống kê người dùng</x:v>
      </x:c>
      <x:c r="D8" s="50" t="str">
        <x:v>Có tài khoản hợp lệ; đã đăng nhập CMS; nhóm Vua Thợ được phép truy cập. Đang ở trang Dashboard.</x:v>
      </x:c>
      <x:c r="E8" s="50" t="str">
        <x:v>1. Trong section Người Dùng click “Ngày”.
2. Chờ dữ liệu cập nhật.
3. Đọc nhãn kỳ, khoảng ngày, biểu đồ và bảng so sánh.</x:v>
      </x:c>
      <x:c r="F8" s="50" t="str">
        <x:v>Nút Ngày active; nhãn/khoảng ngày hợp lệ; biểu đồ và bảng so sánh cập nhật đồng bộ.</x:v>
      </x:c>
      <x:c r="G8" s="50" t="str">
        <x:v>High</x:v>
      </x:c>
      <x:c r="H8" s="50" t="str">
        <x:v>P1</x:v>
      </x:c>
      <x:c r="I8" s="50" t="str">
        <x:v>Functional</x:v>
      </x:c>
      <x:c r="J8" s="50" t="str">
        <x:v>Automate</x:v>
      </x:c>
      <x:c r="K8" s="50" t="str"/>
      <x:c r="L8" s="50" t="str">
        <x:v>Not Run</x:v>
      </x:c>
      <x:c r="M8" s="50" t="str"/>
      <x:c r="N8" s="50" t="str"/>
    </x:row>
    <x:row r="9" ht="72" customHeight="1">
      <x:c r="A9" s="50" t="str">
        <x:v>UST-005</x:v>
      </x:c>
      <x:c r="B9" s="50" t="str">
        <x:v>User Statistics</x:v>
      </x:c>
      <x:c r="C9" s="50" t="str">
        <x:v>Chọn kỳ Tuần cho thống kê người dùng</x:v>
      </x:c>
      <x:c r="D9" s="50" t="str">
        <x:v>Có tài khoản hợp lệ; đã đăng nhập CMS; nhóm Vua Thợ được phép truy cập. Đang ở trang Dashboard.</x:v>
      </x:c>
      <x:c r="E9" s="50" t="str">
        <x:v>1. Trong section Người Dùng click “Tuần”.
2. Chờ dữ liệu cập nhật.
3. Đọc nhãn kỳ, khoảng ngày, biểu đồ và bảng so sánh.</x:v>
      </x:c>
      <x:c r="F9" s="50" t="str">
        <x:v>Nút Tuần active; nhãn/khoảng ngày hợp lệ; biểu đồ và bảng so sánh cập nhật đồng bộ.</x:v>
      </x:c>
      <x:c r="G9" s="50" t="str">
        <x:v>High</x:v>
      </x:c>
      <x:c r="H9" s="50" t="str">
        <x:v>P1</x:v>
      </x:c>
      <x:c r="I9" s="50" t="str">
        <x:v>Functional</x:v>
      </x:c>
      <x:c r="J9" s="50" t="str">
        <x:v>Automate</x:v>
      </x:c>
      <x:c r="K9" s="50" t="str"/>
      <x:c r="L9" s="50" t="str">
        <x:v>Not Run</x:v>
      </x:c>
      <x:c r="M9" s="50" t="str"/>
      <x:c r="N9" s="50" t="str"/>
    </x:row>
    <x:row r="10" ht="72" customHeight="1">
      <x:c r="A10" s="50" t="str">
        <x:v>UST-006</x:v>
      </x:c>
      <x:c r="B10" s="50" t="str">
        <x:v>User Statistics</x:v>
      </x:c>
      <x:c r="C10" s="50" t="str">
        <x:v>Chọn kỳ Tháng cho thống kê người dùng</x:v>
      </x:c>
      <x:c r="D10" s="50" t="str">
        <x:v>Có tài khoản hợp lệ; đã đăng nhập CMS; nhóm Vua Thợ được phép truy cập. Đang ở trang Dashboard.</x:v>
      </x:c>
      <x:c r="E10" s="50" t="str">
        <x:v>1. Trong section Người Dùng click “Tháng”.
2. Chờ dữ liệu cập nhật.
3. Đọc nhãn kỳ, khoảng ngày, biểu đồ và bảng so sánh.</x:v>
      </x:c>
      <x:c r="F10" s="50" t="str">
        <x:v>Nút Tháng active; nhãn/khoảng ngày hợp lệ; biểu đồ và bảng so sánh cập nhật đồng bộ.</x:v>
      </x:c>
      <x:c r="G10" s="50" t="str">
        <x:v>High</x:v>
      </x:c>
      <x:c r="H10" s="50" t="str">
        <x:v>P1</x:v>
      </x:c>
      <x:c r="I10" s="50" t="str">
        <x:v>Functional</x:v>
      </x:c>
      <x:c r="J10" s="50" t="str">
        <x:v>Automate</x:v>
      </x:c>
      <x:c r="K10" s="50" t="str"/>
      <x:c r="L10" s="50" t="str">
        <x:v>Not Run</x:v>
      </x:c>
      <x:c r="M10" s="50" t="str"/>
      <x:c r="N10" s="50" t="str"/>
    </x:row>
    <x:row r="11" ht="72" customHeight="1">
      <x:c r="A11" s="50" t="str">
        <x:v>UST-007</x:v>
      </x:c>
      <x:c r="B11" s="50" t="str">
        <x:v>User Statistics</x:v>
      </x:c>
      <x:c r="C11" s="50" t="str">
        <x:v>Chọn kỳ Quý cho thống kê người dùng</x:v>
      </x:c>
      <x:c r="D11" s="50" t="str">
        <x:v>Có tài khoản hợp lệ; đã đăng nhập CMS; nhóm Vua Thợ được phép truy cập. Đang ở trang Dashboard.</x:v>
      </x:c>
      <x:c r="E11" s="50" t="str">
        <x:v>1. Trong section Người Dùng click “Quý”.
2. Chờ dữ liệu cập nhật.
3. Đọc nhãn kỳ, khoảng ngày, biểu đồ và bảng so sánh.</x:v>
      </x:c>
      <x:c r="F11" s="50" t="str">
        <x:v>Nút Quý active; nhãn/khoảng ngày hợp lệ; biểu đồ và bảng so sánh cập nhật đồng bộ.</x:v>
      </x:c>
      <x:c r="G11" s="50" t="str">
        <x:v>High</x:v>
      </x:c>
      <x:c r="H11" s="50" t="str">
        <x:v>P1</x:v>
      </x:c>
      <x:c r="I11" s="50" t="str">
        <x:v>Functional</x:v>
      </x:c>
      <x:c r="J11" s="50" t="str">
        <x:v>Automate</x:v>
      </x:c>
      <x:c r="K11" s="50" t="str"/>
      <x:c r="L11" s="50" t="str">
        <x:v>Not Run</x:v>
      </x:c>
      <x:c r="M11" s="50" t="str"/>
      <x:c r="N11" s="50" t="str"/>
    </x:row>
    <x:row r="12" ht="72" customHeight="1">
      <x:c r="A12" s="50" t="str">
        <x:v>UST-008</x:v>
      </x:c>
      <x:c r="B12" s="50" t="str">
        <x:v>User Statistics</x:v>
      </x:c>
      <x:c r="C12" s="50" t="str">
        <x:v>Chọn kỳ Năm cho thống kê người dùng</x:v>
      </x:c>
      <x:c r="D12" s="50" t="str">
        <x:v>Có tài khoản hợp lệ; đã đăng nhập CMS; nhóm Vua Thợ được phép truy cập. Đang ở trang Dashboard.</x:v>
      </x:c>
      <x:c r="E12" s="50" t="str">
        <x:v>1. Trong section Người Dùng click “Năm”.
2. Chờ dữ liệu cập nhật.
3. Đọc nhãn kỳ, khoảng ngày, biểu đồ và bảng so sánh.</x:v>
      </x:c>
      <x:c r="F12" s="50" t="str">
        <x:v>Nút Năm active; nhãn/khoảng ngày hợp lệ; biểu đồ và bảng so sánh cập nhật đồng bộ.</x:v>
      </x:c>
      <x:c r="G12" s="50" t="str">
        <x:v>High</x:v>
      </x:c>
      <x:c r="H12" s="50" t="str">
        <x:v>P1</x:v>
      </x:c>
      <x:c r="I12" s="50" t="str">
        <x:v>Functional</x:v>
      </x:c>
      <x:c r="J12" s="50" t="str">
        <x:v>Automate</x:v>
      </x:c>
      <x:c r="K12" s="50" t="str"/>
      <x:c r="L12" s="50" t="str">
        <x:v>Not Run</x:v>
      </x:c>
      <x:c r="M12" s="50" t="str"/>
      <x:c r="N12" s="50" t="str"/>
    </x:row>
    <x:row r="13" ht="72" customHeight="1">
      <x:c r="A13" s="50" t="str">
        <x:v>UST-009</x:v>
      </x:c>
      <x:c r="B13" s="50" t="str">
        <x:v>User Statistics</x:v>
      </x:c>
      <x:c r="C13" s="50" t="str">
        <x:v>Đổi kỳ người dùng không ảnh hưởng kỳ ngành nghề</x:v>
      </x:c>
      <x:c r="D13" s="50" t="str">
        <x:v>Có tài khoản hợp lệ; đã đăng nhập CMS; nhóm Vua Thợ được phép truy cập. Đang ở trang Dashboard.</x:v>
      </x:c>
      <x:c r="E13" s="50" t="str">
        <x:v>1. Ghi nhận active period của ngành nghề.
2. Đổi kỳ section người dùng.
3. Kiểm tra section ngành nghề.</x:v>
      </x:c>
      <x:c r="F13" s="50" t="str">
        <x:v>Active period và dữ liệu ngành nghề không tự thay đổi.</x:v>
      </x:c>
      <x:c r="G13" s="50" t="str">
        <x:v>High</x:v>
      </x:c>
      <x:c r="H13" s="50" t="str">
        <x:v>P1</x:v>
      </x:c>
      <x:c r="I13" s="50" t="str">
        <x:v>Data Integrity</x:v>
      </x:c>
      <x:c r="J13" s="50" t="str">
        <x:v>Automate</x:v>
      </x:c>
      <x:c r="K13" s="50" t="str"/>
      <x:c r="L13" s="50" t="str">
        <x:v>Not Run</x:v>
      </x:c>
      <x:c r="M13" s="50" t="str"/>
      <x:c r="N13" s="50" t="str"/>
    </x:row>
    <x:row r="14" ht="72" customHeight="1">
      <x:c r="A14" s="50" t="str">
        <x:v>UST-010</x:v>
      </x:c>
      <x:c r="B14" s="50" t="str">
        <x:v>User Statistics</x:v>
      </x:c>
      <x:c r="C14" s="50" t="str">
        <x:v>Click nhanh nhiều kỳ không bị race condition</x:v>
      </x:c>
      <x:c r="D14" s="50" t="str">
        <x:v>Có tài khoản hợp lệ; đã đăng nhập CMS; nhóm Vua Thợ được phép truy cập. Đang ở trang Dashboard.</x:v>
      </x:c>
      <x:c r="E14" s="50" t="str">
        <x:v>1. Click nhanh Ngày → Tuần → Năm.
2. Chờ request kết thúc.
3. Kiểm tra active state và dữ liệu.</x:v>
      </x:c>
      <x:c r="F14" s="50" t="str">
        <x:v>Dữ liệu cuối cùng thuộc kỳ Năm; response cũ không ghi đè.</x:v>
      </x:c>
      <x:c r="G14" s="50" t="str">
        <x:v>High</x:v>
      </x:c>
      <x:c r="H14" s="50" t="str">
        <x:v>P1</x:v>
      </x:c>
      <x:c r="I14" s="50" t="str">
        <x:v>Recovery</x:v>
      </x:c>
      <x:c r="J14" s="50" t="str">
        <x:v>Need API/Database</x:v>
      </x:c>
      <x:c r="K14" s="50" t="str"/>
      <x:c r="L14" s="50" t="str">
        <x:v>Not Run</x:v>
      </x:c>
      <x:c r="M14" s="50" t="str"/>
      <x:c r="N14" s="50" t="str"/>
    </x:row>
    <x:row r="15" ht="72" customHeight="1">
      <x:c r="A15" s="50" t="str">
        <x:v>UST-011</x:v>
      </x:c>
      <x:c r="B15" s="50" t="str">
        <x:v>User Statistics</x:v>
      </x:c>
      <x:c r="C15" s="50" t="str">
        <x:v>Bộ chọn kỳ hỗ trợ bàn phím</x:v>
      </x:c>
      <x:c r="D15" s="50" t="str">
        <x:v>Có tài khoản hợp lệ; đã đăng nhập CMS; nhóm Vua Thợ được phép truy cập. Đang ở trang Dashboard.</x:v>
      </x:c>
      <x:c r="E15" s="50" t="str">
        <x:v>1. Tab đến các nút kỳ.
2. Nhấn Enter/Space.
3. Kiểm tra active state.</x:v>
      </x:c>
      <x:c r="F15" s="50" t="str">
        <x:v>Có thể chọn kỳ bằng bàn phím và focus hiển thị rõ.</x:v>
      </x:c>
      <x:c r="G15" s="50" t="str">
        <x:v>Medium</x:v>
      </x:c>
      <x:c r="H15" s="50" t="str">
        <x:v>P2</x:v>
      </x:c>
      <x:c r="I15" s="50" t="str">
        <x:v>Accessibility</x:v>
      </x:c>
      <x:c r="J15" s="50" t="str">
        <x:v>Automate</x:v>
      </x:c>
      <x:c r="K15" s="50" t="str"/>
      <x:c r="L15" s="50" t="str">
        <x:v>Not Run</x:v>
      </x:c>
      <x:c r="M15" s="50" t="str"/>
      <x:c r="N15" s="50" t="str"/>
    </x:row>
    <x:row r="16" ht="72" customHeight="1">
      <x:c r="A16" s="50" t="str">
        <x:v>UST-012</x:v>
      </x:c>
      <x:c r="B16" s="50" t="str">
        <x:v>User Statistics</x:v>
      </x:c>
      <x:c r="C16" s="50" t="str">
        <x:v>Switch Tùy chỉnh người dùng tắt mặc định</x:v>
      </x:c>
      <x:c r="D16" s="50" t="str">
        <x:v>Có tài khoản hợp lệ; đã đăng nhập CMS; nhóm Vua Thợ được phép truy cập. Đang ở trang Dashboard.</x:v>
      </x:c>
      <x:c r="E16" s="50" t="str">
        <x:v>1. Tìm switch gần text “Tùy chỉnh” trong section người dùng.
2. Đọc isSelected.</x:v>
      </x:c>
      <x:c r="F16" s="50" t="str">
        <x:v>Switch không được chọn mặc định.</x:v>
      </x:c>
      <x:c r="G16" s="50" t="str">
        <x:v>Low</x:v>
      </x:c>
      <x:c r="H16" s="50" t="str">
        <x:v>P3</x:v>
      </x:c>
      <x:c r="I16" s="50" t="str">
        <x:v>UI</x:v>
      </x:c>
      <x:c r="J16" s="50" t="str">
        <x:v>Automate</x:v>
      </x:c>
      <x:c r="K16" s="50" t="str"/>
      <x:c r="L16" s="50" t="str">
        <x:v>Not Run</x:v>
      </x:c>
      <x:c r="M16" s="50" t="str"/>
      <x:c r="N16" s="50" t="str"/>
    </x:row>
    <x:row r="17" ht="72" customHeight="1">
      <x:c r="A17" s="50" t="str">
        <x:v>UST-013</x:v>
      </x:c>
      <x:c r="B17" s="50" t="str">
        <x:v>User Statistics</x:v>
      </x:c>
      <x:c r="C17" s="50" t="str">
        <x:v>Bật Tùy chỉnh hiển thị bộ chọn ngày</x:v>
      </x:c>
      <x:c r="D17" s="50" t="str">
        <x:v>Có tài khoản hợp lệ; đã đăng nhập CMS; nhóm Vua Thợ được phép truy cập. Đang ở trang Dashboard.</x:v>
      </x:c>
      <x:c r="E17" s="50" t="str">
        <x:v>1. Bật switch Tùy chỉnh.
2. Chờ date picker/range picker xuất hiện.</x:v>
      </x:c>
      <x:c r="F17" s="50" t="str">
        <x:v>Bộ chọn ngày xuất hiện; các control kỳ xử lý theo thiết kế.</x:v>
      </x:c>
      <x:c r="G17" s="50" t="str">
        <x:v>High</x:v>
      </x:c>
      <x:c r="H17" s="50" t="str">
        <x:v>P1</x:v>
      </x:c>
      <x:c r="I17" s="50" t="str">
        <x:v>Functional</x:v>
      </x:c>
      <x:c r="J17" s="50" t="str">
        <x:v>Need more DOM</x:v>
      </x:c>
      <x:c r="K17" s="50" t="str"/>
      <x:c r="L17" s="50" t="str">
        <x:v>Not Run</x:v>
      </x:c>
      <x:c r="M17" s="50" t="str"/>
      <x:c r="N17" s="50" t="str"/>
    </x:row>
    <x:row r="18" ht="72" customHeight="1">
      <x:c r="A18" s="50" t="str">
        <x:v>UST-014</x:v>
      </x:c>
      <x:c r="B18" s="50" t="str">
        <x:v>User Statistics</x:v>
      </x:c>
      <x:c r="C18" s="50" t="str">
        <x:v>Chọn ngày bắt đầu và kết thúc hợp lệ</x:v>
      </x:c>
      <x:c r="D18" s="50" t="str">
        <x:v>Có tài khoản hợp lệ; đã đăng nhập CMS; nhóm Vua Thợ được phép truy cập. Đang ở trang Dashboard.</x:v>
      </x:c>
      <x:c r="E18" s="50" t="str">
        <x:v>1. Bật Tùy chỉnh.
2. Chọn ngày bắt đầu nhỏ hơn ngày kết thúc.
3. Áp dụng.</x:v>
      </x:c>
      <x:c r="F18" s="50" t="str">
        <x:v>Khoảng ngày hiển thị đúng; biểu đồ và bảng cập nhật theo khoảng chọn.</x:v>
      </x:c>
      <x:c r="G18" s="50" t="str">
        <x:v>High</x:v>
      </x:c>
      <x:c r="H18" s="50" t="str">
        <x:v>P1</x:v>
      </x:c>
      <x:c r="I18" s="50" t="str">
        <x:v>Functional</x:v>
      </x:c>
      <x:c r="J18" s="50" t="str">
        <x:v>Need more DOM</x:v>
      </x:c>
      <x:c r="K18" s="50" t="str"/>
      <x:c r="L18" s="50" t="str">
        <x:v>Not Run</x:v>
      </x:c>
      <x:c r="M18" s="50" t="str"/>
      <x:c r="N18" s="50" t="str"/>
    </x:row>
    <x:row r="19" ht="72" customHeight="1">
      <x:c r="A19" s="50" t="str">
        <x:v>UST-015</x:v>
      </x:c>
      <x:c r="B19" s="50" t="str">
        <x:v>User Statistics</x:v>
      </x:c>
      <x:c r="C19" s="50" t="str">
        <x:v>Ngày bắt đầu lớn hơn ngày kết thúc</x:v>
      </x:c>
      <x:c r="D19" s="50" t="str">
        <x:v>Có tài khoản hợp lệ; đã đăng nhập CMS; nhóm Vua Thợ được phép truy cập. Đang ở trang Dashboard.</x:v>
      </x:c>
      <x:c r="E19" s="50" t="str">
        <x:v>1. Bật Tùy chỉnh.
2. Chọn start &gt; end.
3. Thử áp dụng.</x:v>
      </x:c>
      <x:c r="F19" s="50" t="str">
        <x:v>Hệ thống chặn hoặc tự điều chỉnh theo đặc tả; hiển thị validation rõ.</x:v>
      </x:c>
      <x:c r="G19" s="50" t="str">
        <x:v>High</x:v>
      </x:c>
      <x:c r="H19" s="50" t="str">
        <x:v>P1</x:v>
      </x:c>
      <x:c r="I19" s="50" t="str">
        <x:v>Negative</x:v>
      </x:c>
      <x:c r="J19" s="50" t="str">
        <x:v>Need more DOM</x:v>
      </x:c>
      <x:c r="K19" s="50" t="str"/>
      <x:c r="L19" s="50" t="str">
        <x:v>Not Run</x:v>
      </x:c>
      <x:c r="M19" s="50" t="str"/>
      <x:c r="N19" s="50" t="str"/>
    </x:row>
    <x:row r="20" ht="72" customHeight="1">
      <x:c r="A20" s="50" t="str">
        <x:v>UST-016</x:v>
      </x:c>
      <x:c r="B20" s="50" t="str">
        <x:v>User Statistics</x:v>
      </x:c>
      <x:c r="C20" s="50" t="str">
        <x:v>Chọn cùng một ngày</x:v>
      </x:c>
      <x:c r="D20" s="50" t="str">
        <x:v>Có tài khoản hợp lệ; đã đăng nhập CMS; nhóm Vua Thợ được phép truy cập. Đang ở trang Dashboard.</x:v>
      </x:c>
      <x:c r="E20" s="50" t="str">
        <x:v>1. Bật Tùy chỉnh.
2. Chọn start = end.
3. Áp dụng.</x:v>
      </x:c>
      <x:c r="F20" s="50" t="str">
        <x:v>Dữ liệu của đúng một ngày được hiển thị hoặc validation theo đặc tả.</x:v>
      </x:c>
      <x:c r="G20" s="50" t="str">
        <x:v>Medium</x:v>
      </x:c>
      <x:c r="H20" s="50" t="str">
        <x:v>P2</x:v>
      </x:c>
      <x:c r="I20" s="50" t="str">
        <x:v>Boundary</x:v>
      </x:c>
      <x:c r="J20" s="50" t="str">
        <x:v>Need more DOM</x:v>
      </x:c>
      <x:c r="K20" s="50" t="str"/>
      <x:c r="L20" s="50" t="str">
        <x:v>Not Run</x:v>
      </x:c>
      <x:c r="M20" s="50" t="str"/>
      <x:c r="N20" s="50" t="str"/>
    </x:row>
    <x:row r="21" ht="72" customHeight="1">
      <x:c r="A21" s="50" t="str">
        <x:v>UST-017</x:v>
      </x:c>
      <x:c r="B21" s="50" t="str">
        <x:v>User Statistics</x:v>
      </x:c>
      <x:c r="C21" s="50" t="str">
        <x:v>Chọn khoảng ngày dài</x:v>
      </x:c>
      <x:c r="D21" s="50" t="str">
        <x:v>Có tài khoản hợp lệ; đã đăng nhập CMS; nhóm Vua Thợ được phép truy cập. Đang ở trang Dashboard.</x:v>
      </x:c>
      <x:c r="E21" s="50" t="str">
        <x:v>1. Bật Tùy chỉnh.
2. Chọn khoảng dài nhất được phép.
3. Áp dụng.</x:v>
      </x:c>
      <x:c r="F21" s="50" t="str">
        <x:v>Hệ thống xử lý trong timeout hoặc cảnh báo giới hạn rõ ràng.</x:v>
      </x:c>
      <x:c r="G21" s="50" t="str">
        <x:v>Medium</x:v>
      </x:c>
      <x:c r="H21" s="50" t="str">
        <x:v>P2</x:v>
      </x:c>
      <x:c r="I21" s="50" t="str">
        <x:v>Boundary</x:v>
      </x:c>
      <x:c r="J21" s="50" t="str">
        <x:v>Need business requirement</x:v>
      </x:c>
      <x:c r="K21" s="50" t="str"/>
      <x:c r="L21" s="50" t="str">
        <x:v>Not Run</x:v>
      </x:c>
      <x:c r="M21" s="50" t="str"/>
      <x:c r="N21" s="50" t="str"/>
    </x:row>
    <x:row r="22" ht="72" customHeight="1">
      <x:c r="A22" s="50" t="str">
        <x:v>UST-018</x:v>
      </x:c>
      <x:c r="B22" s="50" t="str">
        <x:v>User Statistics</x:v>
      </x:c>
      <x:c r="C22" s="50" t="str">
        <x:v>Tắt Tùy chỉnh quay về chế độ kỳ</x:v>
      </x:c>
      <x:c r="D22" s="50" t="str">
        <x:v>Có tài khoản hợp lệ; đã đăng nhập CMS; nhóm Vua Thợ được phép truy cập. Đang ở trang Dashboard.</x:v>
      </x:c>
      <x:c r="E22" s="50" t="str">
        <x:v>1. Bật và áp dụng custom date.
2. Tắt switch.
3. Kiểm tra kỳ active và dữ liệu.</x:v>
      </x:c>
      <x:c r="F22" s="50" t="str">
        <x:v>Date picker ẩn; dữ liệu quay về kỳ active/mặc định theo đặc tả.</x:v>
      </x:c>
      <x:c r="G22" s="50" t="str">
        <x:v>Medium</x:v>
      </x:c>
      <x:c r="H22" s="50" t="str">
        <x:v>P2</x:v>
      </x:c>
      <x:c r="I22" s="50" t="str">
        <x:v>Functional</x:v>
      </x:c>
      <x:c r="J22" s="50" t="str">
        <x:v>Need more DOM</x:v>
      </x:c>
      <x:c r="K22" s="50" t="str"/>
      <x:c r="L22" s="50" t="str">
        <x:v>Not Run</x:v>
      </x:c>
      <x:c r="M22" s="50" t="str"/>
      <x:c r="N22" s="50" t="str"/>
    </x:row>
    <x:row r="23" ht="72" customHeight="1">
      <x:c r="A23" s="50" t="str">
        <x:v>UST-019</x:v>
      </x:c>
      <x:c r="B23" s="50" t="str">
        <x:v>User Statistics</x:v>
      </x:c>
      <x:c r="C23" s="50" t="str">
        <x:v>Switch custom người dùng độc lập với ngành nghề</x:v>
      </x:c>
      <x:c r="D23" s="50" t="str">
        <x:v>Có tài khoản hợp lệ; đã đăng nhập CMS; nhóm Vua Thợ được phép truy cập. Đang ở trang Dashboard.</x:v>
      </x:c>
      <x:c r="E23" s="50" t="str">
        <x:v>1. Bật custom date người dùng.
2. Kiểm tra switch ngành nghề.</x:v>
      </x:c>
      <x:c r="F23" s="50" t="str">
        <x:v>Switch ngành nghề không thay đổi.</x:v>
      </x:c>
      <x:c r="G23" s="50" t="str">
        <x:v>High</x:v>
      </x:c>
      <x:c r="H23" s="50" t="str">
        <x:v>P1</x:v>
      </x:c>
      <x:c r="I23" s="50" t="str">
        <x:v>Data Integrity</x:v>
      </x:c>
      <x:c r="J23" s="50" t="str">
        <x:v>Automate</x:v>
      </x:c>
      <x:c r="K23" s="50" t="str"/>
      <x:c r="L23" s="50" t="str">
        <x:v>Not Run</x:v>
      </x:c>
      <x:c r="M23" s="50" t="str"/>
      <x:c r="N23" s="50" t="str"/>
    </x:row>
    <x:row r="24" ht="72" customHeight="1">
      <x:c r="A24" s="50" t="str">
        <x:v>UST-020</x:v>
      </x:c>
      <x:c r="B24" s="50" t="str">
        <x:v>User Statistics</x:v>
      </x:c>
      <x:c r="C24" s="50" t="str">
        <x:v>Nút Xuất Excel hiển thị và enabled</x:v>
      </x:c>
      <x:c r="D24" s="50" t="str">
        <x:v>Có tài khoản hợp lệ; đã đăng nhập CMS; nhóm Vua Thợ được phép truy cập. Đang ở trang Dashboard.</x:v>
      </x:c>
      <x:c r="E24" s="50" t="str">
        <x:v>1. Tìm button “Xuất Excel” trong section người dùng.
2. Kiểm tra displayed/enabled.</x:v>
      </x:c>
      <x:c r="F24" s="50" t="str">
        <x:v>Nút hiển thị và có thể click.</x:v>
      </x:c>
      <x:c r="G24" s="50" t="str">
        <x:v>Medium</x:v>
      </x:c>
      <x:c r="H24" s="50" t="str">
        <x:v>P2</x:v>
      </x:c>
      <x:c r="I24" s="50" t="str">
        <x:v>UI</x:v>
      </x:c>
      <x:c r="J24" s="50" t="str">
        <x:v>Automate</x:v>
      </x:c>
      <x:c r="K24" s="50" t="str"/>
      <x:c r="L24" s="50" t="str">
        <x:v>Not Run</x:v>
      </x:c>
      <x:c r="M24" s="50" t="str"/>
      <x:c r="N24" s="50" t="str"/>
    </x:row>
    <x:row r="25" ht="72" customHeight="1">
      <x:c r="A25" s="50" t="str">
        <x:v>UST-021</x:v>
      </x:c>
      <x:c r="B25" s="50" t="str">
        <x:v>User Statistics</x:v>
      </x:c>
      <x:c r="C25" s="50" t="str">
        <x:v>Xuất Excel thành công theo kỳ đang chọn</x:v>
      </x:c>
      <x:c r="D25" s="50" t="str">
        <x:v>Có tài khoản hợp lệ; đã đăng nhập CMS; nhóm Vua Thợ được phép truy cập. Đang ở trang Dashboard.</x:v>
      </x:c>
      <x:c r="E25" s="50" t="str">
        <x:v>1. Chọn một kỳ.
2. Dọn thư mục download test.
3. Click Xuất Excel.
4. Chờ file hoàn tất.</x:v>
      </x:c>
      <x:c r="F25" s="50" t="str">
        <x:v>Tải đúng một file .xlsx/.xls; dung lượng &gt; 0; không còn .crdownload.</x:v>
      </x:c>
      <x:c r="G25" s="50" t="str">
        <x:v>High</x:v>
      </x:c>
      <x:c r="H25" s="50" t="str">
        <x:v>P1</x:v>
      </x:c>
      <x:c r="I25" s="50" t="str">
        <x:v>Download</x:v>
      </x:c>
      <x:c r="J25" s="50" t="str">
        <x:v>Automate</x:v>
      </x:c>
      <x:c r="K25" s="50" t="str"/>
      <x:c r="L25" s="50" t="str">
        <x:v>Not Run</x:v>
      </x:c>
      <x:c r="M25" s="50" t="str"/>
      <x:c r="N25" s="50" t="str"/>
    </x:row>
    <x:row r="26" ht="72" customHeight="1">
      <x:c r="A26" s="50" t="str">
        <x:v>UST-022</x:v>
      </x:c>
      <x:c r="B26" s="50" t="str">
        <x:v>User Statistics</x:v>
      </x:c>
      <x:c r="C26" s="50" t="str">
        <x:v>Tên file Excel hợp lệ</x:v>
      </x:c>
      <x:c r="D26" s="50" t="str">
        <x:v>Có tài khoản hợp lệ; đã đăng nhập CMS; nhóm Vua Thợ được phép truy cập. Đang ở trang Dashboard.</x:v>
      </x:c>
      <x:c r="E26" s="50" t="str">
        <x:v>1. Xuất Excel.
2. Đọc tên file.</x:v>
      </x:c>
      <x:c r="F26" s="50" t="str">
        <x:v>Tên file theo quy ước, không chứa ký tự lỗi và phản ánh báo cáo/khoảng thời gian nếu đặc tả yêu cầu.</x:v>
      </x:c>
      <x:c r="G26" s="50" t="str">
        <x:v>Medium</x:v>
      </x:c>
      <x:c r="H26" s="50" t="str">
        <x:v>P2</x:v>
      </x:c>
      <x:c r="I26" s="50" t="str">
        <x:v>Download</x:v>
      </x:c>
      <x:c r="J26" s="50" t="str">
        <x:v>Need business requirement</x:v>
      </x:c>
      <x:c r="K26" s="50" t="str"/>
      <x:c r="L26" s="50" t="str">
        <x:v>Not Run</x:v>
      </x:c>
      <x:c r="M26" s="50" t="str"/>
      <x:c r="N26" s="50" t="str"/>
    </x:row>
    <x:row r="27" ht="72" customHeight="1">
      <x:c r="A27" s="50" t="str">
        <x:v>UST-023</x:v>
      </x:c>
      <x:c r="B27" s="50" t="str">
        <x:v>User Statistics</x:v>
      </x:c>
      <x:c r="C27" s="50" t="str">
        <x:v>Nội dung Excel mở được</x:v>
      </x:c>
      <x:c r="D27" s="50" t="str">
        <x:v>Có tài khoản hợp lệ; đã đăng nhập CMS; nhóm Vua Thợ được phép truy cập. Đang ở trang Dashboard.</x:v>
      </x:c>
      <x:c r="E27" s="50" t="str">
        <x:v>1. Xuất file.
2. Mở workbook bằng Apache POI.
3. Đọc sheet, header và dòng dữ liệu.</x:v>
      </x:c>
      <x:c r="F27" s="50" t="str">
        <x:v>Workbook không hỏng; có sheet/header hợp lệ và dữ liệu.</x:v>
      </x:c>
      <x:c r="G27" s="50" t="str">
        <x:v>High</x:v>
      </x:c>
      <x:c r="H27" s="50" t="str">
        <x:v>P1</x:v>
      </x:c>
      <x:c r="I27" s="50" t="str">
        <x:v>Download</x:v>
      </x:c>
      <x:c r="J27" s="50" t="str">
        <x:v>Automate</x:v>
      </x:c>
      <x:c r="K27" s="50" t="str"/>
      <x:c r="L27" s="50" t="str">
        <x:v>Not Run</x:v>
      </x:c>
      <x:c r="M27" s="50" t="str"/>
      <x:c r="N27" s="50" t="str"/>
    </x:row>
    <x:row r="28" ht="72" customHeight="1">
      <x:c r="A28" s="50" t="str">
        <x:v>UST-024</x:v>
      </x:c>
      <x:c r="B28" s="50" t="str">
        <x:v>User Statistics</x:v>
      </x:c>
      <x:c r="C28" s="50" t="str">
        <x:v>Excel phản ánh đúng kỳ lọc</x:v>
      </x:c>
      <x:c r="D28" s="50" t="str">
        <x:v>Có tài khoản hợp lệ; đã đăng nhập CMS; nhóm Vua Thợ được phép truy cập. Đang ở trang Dashboard.</x:v>
      </x:c>
      <x:c r="E28" s="50" t="str">
        <x:v>1. Chọn kỳ và ghi nhận khoảng ngày.
2. Xuất file.
3. Đối chiếu metadata/dữ liệu ngày trong file.</x:v>
      </x:c>
      <x:c r="F28" s="50" t="str">
        <x:v>Dữ liệu trong file thuộc đúng khoảng thời gian đang chọn.</x:v>
      </x:c>
      <x:c r="G28" s="50" t="str">
        <x:v>High</x:v>
      </x:c>
      <x:c r="H28" s="50" t="str">
        <x:v>P1</x:v>
      </x:c>
      <x:c r="I28" s="50" t="str">
        <x:v>Data Integrity</x:v>
      </x:c>
      <x:c r="J28" s="50" t="str">
        <x:v>Need API/Database</x:v>
      </x:c>
      <x:c r="K28" s="50" t="str"/>
      <x:c r="L28" s="50" t="str">
        <x:v>Not Run</x:v>
      </x:c>
      <x:c r="M28" s="50" t="str"/>
      <x:c r="N28" s="50" t="str"/>
    </x:row>
    <x:row r="29" ht="72" customHeight="1">
      <x:c r="A29" s="50" t="str">
        <x:v>UST-025</x:v>
      </x:c>
      <x:c r="B29" s="50" t="str">
        <x:v>User Statistics</x:v>
      </x:c>
      <x:c r="C29" s="50" t="str">
        <x:v>Một lần click chỉ tải một file</x:v>
      </x:c>
      <x:c r="D29" s="50" t="str">
        <x:v>Có tài khoản hợp lệ; đã đăng nhập CMS; nhóm Vua Thợ được phép truy cập. Đang ở trang Dashboard.</x:v>
      </x:c>
      <x:c r="E29" s="50" t="str">
        <x:v>1. Dọn thư mục download.
2. Click Xuất Excel một lần.
3. Đếm file mới.</x:v>
      </x:c>
      <x:c r="F29" s="50" t="str">
        <x:v>Chỉ có một file hợp lệ được tạo.</x:v>
      </x:c>
      <x:c r="G29" s="50" t="str">
        <x:v>Medium</x:v>
      </x:c>
      <x:c r="H29" s="50" t="str">
        <x:v>P2</x:v>
      </x:c>
      <x:c r="I29" s="50" t="str">
        <x:v>Download</x:v>
      </x:c>
      <x:c r="J29" s="50" t="str">
        <x:v>Automate</x:v>
      </x:c>
      <x:c r="K29" s="50" t="str"/>
      <x:c r="L29" s="50" t="str">
        <x:v>Not Run</x:v>
      </x:c>
      <x:c r="M29" s="50" t="str"/>
      <x:c r="N29" s="50" t="str"/>
    </x:row>
    <x:row r="30" ht="72" customHeight="1">
      <x:c r="A30" s="50" t="str">
        <x:v>UST-026</x:v>
      </x:c>
      <x:c r="B30" s="50" t="str">
        <x:v>User Statistics</x:v>
      </x:c>
      <x:c r="C30" s="50" t="str">
        <x:v>Double click Xuất Excel không tạo download trùng</x:v>
      </x:c>
      <x:c r="D30" s="50" t="str">
        <x:v>Có tài khoản hợp lệ; đã đăng nhập CMS; nhóm Vua Thợ được phép truy cập. Đang ở trang Dashboard.</x:v>
      </x:c>
      <x:c r="E30" s="50" t="str">
        <x:v>1. Double click nhanh nút Xuất Excel.
2. Đếm file/request.</x:v>
      </x:c>
      <x:c r="F30" s="50" t="str">
        <x:v>Nút được debounce/disable hoặc chỉ tạo một export theo quy định.</x:v>
      </x:c>
      <x:c r="G30" s="50" t="str">
        <x:v>Medium</x:v>
      </x:c>
      <x:c r="H30" s="50" t="str">
        <x:v>P2</x:v>
      </x:c>
      <x:c r="I30" s="50" t="str">
        <x:v>Negative</x:v>
      </x:c>
      <x:c r="J30" s="50" t="str">
        <x:v>Automate</x:v>
      </x:c>
      <x:c r="K30" s="50" t="str"/>
      <x:c r="L30" s="50" t="str">
        <x:v>Not Run</x:v>
      </x:c>
      <x:c r="M30" s="50" t="str"/>
      <x:c r="N30" s="50" t="str"/>
    </x:row>
    <x:row r="31" ht="72" customHeight="1">
      <x:c r="A31" s="50" t="str">
        <x:v>UST-027</x:v>
      </x:c>
      <x:c r="B31" s="50" t="str">
        <x:v>User Statistics</x:v>
      </x:c>
      <x:c r="C31" s="50" t="str">
        <x:v>Xuất Excel khi custom date đang bật</x:v>
      </x:c>
      <x:c r="D31" s="50" t="str">
        <x:v>Có tài khoản hợp lệ; đã đăng nhập CMS; nhóm Vua Thợ được phép truy cập. Đang ở trang Dashboard.</x:v>
      </x:c>
      <x:c r="E31" s="50" t="str">
        <x:v>1. Bật custom date và áp dụng khoảng hợp lệ.
2. Xuất Excel.
3. Đối chiếu khoảng ngày.</x:v>
      </x:c>
      <x:c r="F31" s="50" t="str">
        <x:v>File chứa đúng dữ liệu custom date.</x:v>
      </x:c>
      <x:c r="G31" s="50" t="str">
        <x:v>High</x:v>
      </x:c>
      <x:c r="H31" s="50" t="str">
        <x:v>P1</x:v>
      </x:c>
      <x:c r="I31" s="50" t="str">
        <x:v>Download</x:v>
      </x:c>
      <x:c r="J31" s="50" t="str">
        <x:v>Need more DOM</x:v>
      </x:c>
      <x:c r="K31" s="50" t="str"/>
      <x:c r="L31" s="50" t="str">
        <x:v>Not Run</x:v>
      </x:c>
      <x:c r="M31" s="50" t="str"/>
      <x:c r="N31" s="50" t="str"/>
    </x:row>
    <x:row r="32" ht="72" customHeight="1">
      <x:c r="A32" s="50" t="str">
        <x:v>UST-028</x:v>
      </x:c>
      <x:c r="B32" s="50" t="str">
        <x:v>User Statistics</x:v>
      </x:c>
      <x:c r="C32" s="50" t="str">
        <x:v>Xử lý lỗi tải Excel</x:v>
      </x:c>
      <x:c r="D32" s="50" t="str">
        <x:v>Thực hiện trên môi trường test/staging với dữ liệu an toàn.</x:v>
      </x:c>
      <x:c r="E32" s="50" t="str">
        <x:v>1. Mock API export lỗi.
2. Click Xuất Excel.</x:v>
      </x:c>
      <x:c r="F32" s="50" t="str">
        <x:v>Hiển thị thông báo lỗi; không để file rỗng/hỏng trong thư mục.</x:v>
      </x:c>
      <x:c r="G32" s="50" t="str">
        <x:v>High</x:v>
      </x:c>
      <x:c r="H32" s="50" t="str">
        <x:v>P1</x:v>
      </x:c>
      <x:c r="I32" s="50" t="str">
        <x:v>Negative</x:v>
      </x:c>
      <x:c r="J32" s="50" t="str">
        <x:v>Need API/Database</x:v>
      </x:c>
      <x:c r="K32" s="50" t="str"/>
      <x:c r="L32" s="50" t="str">
        <x:v>Not Run</x:v>
      </x:c>
      <x:c r="M32" s="50" t="str"/>
      <x:c r="N32" s="50" t="str"/>
    </x:row>
    <x:row r="33" ht="72" customHeight="1">
      <x:c r="A33" s="50" t="str">
        <x:v>UST-029</x:v>
      </x:c>
      <x:c r="B33" s="50" t="str">
        <x:v>User Statistics</x:v>
      </x:c>
      <x:c r="C33" s="50" t="str">
        <x:v>Biểu đồ người dùng/thợ render thành công</x:v>
      </x:c>
      <x:c r="D33" s="50" t="str">
        <x:v>Có tài khoản hợp lệ; đã đăng nhập CMS; nhóm Vua Thợ được phép truy cập. Đang ở trang Dashboard.</x:v>
      </x:c>
      <x:c r="E33" s="50" t="str">
        <x:v>1. Tìm container Recharts trong section người dùng.
2. Kiểm tra SVG width/height và các phần tử series.</x:v>
      </x:c>
      <x:c r="F33" s="50" t="str">
        <x:v>SVG hiển thị với kích thước &gt; 0; không trống.</x:v>
      </x:c>
      <x:c r="G33" s="50" t="str">
        <x:v>High</x:v>
      </x:c>
      <x:c r="H33" s="50" t="str">
        <x:v>P1</x:v>
      </x:c>
      <x:c r="I33" s="50" t="str">
        <x:v>UI</x:v>
      </x:c>
      <x:c r="J33" s="50" t="str">
        <x:v>Automate</x:v>
      </x:c>
      <x:c r="K33" s="50" t="str"/>
      <x:c r="L33" s="50" t="str">
        <x:v>Not Run</x:v>
      </x:c>
      <x:c r="M33" s="50" t="str"/>
      <x:c r="N33" s="50" t="str"/>
    </x:row>
    <x:row r="34" ht="72" customHeight="1">
      <x:c r="A34" s="50" t="str">
        <x:v>UST-030</x:v>
      </x:c>
      <x:c r="B34" s="50" t="str">
        <x:v>User Statistics</x:v>
      </x:c>
      <x:c r="C34" s="50" t="str">
        <x:v>Trục X hiển thị ngày hợp lệ và tăng dần</x:v>
      </x:c>
      <x:c r="D34" s="50" t="str">
        <x:v>Có tài khoản hợp lệ; đã đăng nhập CMS; nhóm Vua Thợ được phép truy cập. Đang ở trang Dashboard.</x:v>
      </x:c>
      <x:c r="E34" s="50" t="str">
        <x:v>1. Đọc các nhãn trục X.
2. Parse ngày.
3. Kiểm tra thứ tự.</x:v>
      </x:c>
      <x:c r="F34" s="50" t="str">
        <x:v>Ngày đúng định dạng và không đảo thứ tự.</x:v>
      </x:c>
      <x:c r="G34" s="50" t="str">
        <x:v>Medium</x:v>
      </x:c>
      <x:c r="H34" s="50" t="str">
        <x:v>P2</x:v>
      </x:c>
      <x:c r="I34" s="50" t="str">
        <x:v>Data Integrity</x:v>
      </x:c>
      <x:c r="J34" s="50" t="str">
        <x:v>Automate</x:v>
      </x:c>
      <x:c r="K34" s="50" t="str"/>
      <x:c r="L34" s="50" t="str">
        <x:v>Not Run</x:v>
      </x:c>
      <x:c r="M34" s="50" t="str"/>
      <x:c r="N34" s="50" t="str"/>
    </x:row>
    <x:row r="35" ht="72" customHeight="1">
      <x:c r="A35" s="50" t="str">
        <x:v>UST-031</x:v>
      </x:c>
      <x:c r="B35" s="50" t="str">
        <x:v>User Statistics</x:v>
      </x:c>
      <x:c r="C35" s="50" t="str">
        <x:v>Trục Y hiển thị số hợp lệ</x:v>
      </x:c>
      <x:c r="D35" s="50" t="str">
        <x:v>Có tài khoản hợp lệ; đã đăng nhập CMS; nhóm Vua Thợ được phép truy cập. Đang ở trang Dashboard.</x:v>
      </x:c>
      <x:c r="E35" s="50" t="str">
        <x:v>1. Đọc các nhãn trục Y.
2. Parse số.</x:v>
      </x:c>
      <x:c r="F35" s="50" t="str">
        <x:v>Các mốc là số hợp lệ, không NaN/Infinity.</x:v>
      </x:c>
      <x:c r="G35" s="50" t="str">
        <x:v>Medium</x:v>
      </x:c>
      <x:c r="H35" s="50" t="str">
        <x:v>P2</x:v>
      </x:c>
      <x:c r="I35" s="50" t="str">
        <x:v>Validation</x:v>
      </x:c>
      <x:c r="J35" s="50" t="str">
        <x:v>Automate</x:v>
      </x:c>
      <x:c r="K35" s="50" t="str"/>
      <x:c r="L35" s="50" t="str">
        <x:v>Not Run</x:v>
      </x:c>
      <x:c r="M35" s="50" t="str"/>
      <x:c r="N35" s="50" t="str"/>
    </x:row>
    <x:row r="36" ht="72" customHeight="1">
      <x:c r="A36" s="50" t="str">
        <x:v>UST-032</x:v>
      </x:c>
      <x:c r="B36" s="50" t="str">
        <x:v>User Statistics</x:v>
      </x:c>
      <x:c r="C36" s="50" t="str">
        <x:v>Biểu đồ có dữ liệu Người dùng và Thợ</x:v>
      </x:c>
      <x:c r="D36" s="50" t="str">
        <x:v>Có tài khoản hợp lệ; đã đăng nhập CMS; nhóm Vua Thợ được phép truy cập. Đang ở trang Dashboard.</x:v>
      </x:c>
      <x:c r="E36" s="50" t="str">
        <x:v>1. Xác định các series/legend/tooltip.
2. Hover các cột.</x:v>
      </x:c>
      <x:c r="F36" s="50" t="str">
        <x:v>Phân biệt được hai loại dữ liệu Người dùng và Thợ theo UI.</x:v>
      </x:c>
      <x:c r="G36" s="50" t="str">
        <x:v>High</x:v>
      </x:c>
      <x:c r="H36" s="50" t="str">
        <x:v>P1</x:v>
      </x:c>
      <x:c r="I36" s="50" t="str">
        <x:v>Data Integrity</x:v>
      </x:c>
      <x:c r="J36" s="50" t="str">
        <x:v>Automate</x:v>
      </x:c>
      <x:c r="K36" s="50" t="str"/>
      <x:c r="L36" s="50" t="str">
        <x:v>Not Run</x:v>
      </x:c>
      <x:c r="M36" s="50" t="str"/>
      <x:c r="N36" s="50" t="str"/>
    </x:row>
    <x:row r="37" ht="72" customHeight="1">
      <x:c r="A37" s="50" t="str">
        <x:v>UST-033</x:v>
      </x:c>
      <x:c r="B37" s="50" t="str">
        <x:v>User Statistics</x:v>
      </x:c>
      <x:c r="C37" s="50" t="str">
        <x:v>Tooltip biểu đồ hiển thị đúng</x:v>
      </x:c>
      <x:c r="D37" s="50" t="str">
        <x:v>Có tài khoản hợp lệ; đã đăng nhập CMS; nhóm Vua Thợ được phép truy cập. Đang ở trang Dashboard.</x:v>
      </x:c>
      <x:c r="E37" s="50" t="str">
        <x:v>1. Hover lần lượt các cột có dữ liệu.
2. Đọc ngày, series và giá trị tooltip.
3. Đối chiếu phần tử biểu đồ.</x:v>
      </x:c>
      <x:c r="F37" s="50" t="str">
        <x:v>Tooltip đúng điểm dữ liệu và không bị che.</x:v>
      </x:c>
      <x:c r="G37" s="50" t="str">
        <x:v>Medium</x:v>
      </x:c>
      <x:c r="H37" s="50" t="str">
        <x:v>P2</x:v>
      </x:c>
      <x:c r="I37" s="50" t="str">
        <x:v>Functional</x:v>
      </x:c>
      <x:c r="J37" s="50" t="str">
        <x:v>Automate</x:v>
      </x:c>
      <x:c r="K37" s="50" t="str"/>
      <x:c r="L37" s="50" t="str">
        <x:v>Not Run</x:v>
      </x:c>
      <x:c r="M37" s="50" t="str"/>
      <x:c r="N37" s="50" t="str"/>
    </x:row>
    <x:row r="38" ht="72" customHeight="1">
      <x:c r="A38" s="50" t="str">
        <x:v>UST-034</x:v>
      </x:c>
      <x:c r="B38" s="50" t="str">
        <x:v>User Statistics</x:v>
      </x:c>
      <x:c r="C38" s="50" t="str">
        <x:v>Biểu đồ cập nhật sau khi đổi kỳ</x:v>
      </x:c>
      <x:c r="D38" s="50" t="str">
        <x:v>Có tài khoản hợp lệ; đã đăng nhập CMS; nhóm Vua Thợ được phép truy cập. Đang ở trang Dashboard.</x:v>
      </x:c>
      <x:c r="E38" s="50" t="str">
        <x:v>1. Ghi nhận nhãn/dữ liệu biểu đồ hiện tại.
2. Đổi kỳ.
3. Chờ render lại.</x:v>
      </x:c>
      <x:c r="F38" s="50" t="str">
        <x:v>Trục và dữ liệu thay đổi theo kỳ; không giữ dữ liệu cũ.</x:v>
      </x:c>
      <x:c r="G38" s="50" t="str">
        <x:v>High</x:v>
      </x:c>
      <x:c r="H38" s="50" t="str">
        <x:v>P1</x:v>
      </x:c>
      <x:c r="I38" s="50" t="str">
        <x:v>Data Integrity</x:v>
      </x:c>
      <x:c r="J38" s="50" t="str">
        <x:v>Automate</x:v>
      </x:c>
      <x:c r="K38" s="50" t="str"/>
      <x:c r="L38" s="50" t="str">
        <x:v>Not Run</x:v>
      </x:c>
      <x:c r="M38" s="50" t="str"/>
      <x:c r="N38" s="50" t="str"/>
    </x:row>
    <x:row r="39" ht="72" customHeight="1">
      <x:c r="A39" s="50" t="str">
        <x:v>UST-035</x:v>
      </x:c>
      <x:c r="B39" s="50" t="str">
        <x:v>User Statistics</x:v>
      </x:c>
      <x:c r="C39" s="50" t="str">
        <x:v>Biểu đồ không có dữ liệu</x:v>
      </x:c>
      <x:c r="D39" s="50" t="str">
        <x:v>Thực hiện trên môi trường test/staging với dữ liệu an toàn.</x:v>
      </x:c>
      <x:c r="E39" s="50" t="str">
        <x:v>1. Mock kỳ không có dữ liệu.
2. Chọn kỳ.</x:v>
      </x:c>
      <x:c r="F39" s="50" t="str">
        <x:v>Hiển thị empty state hợp lý; không crash/NaN.</x:v>
      </x:c>
      <x:c r="G39" s="50" t="str">
        <x:v>Medium</x:v>
      </x:c>
      <x:c r="H39" s="50" t="str">
        <x:v>P2</x:v>
      </x:c>
      <x:c r="I39" s="50" t="str">
        <x:v>Boundary</x:v>
      </x:c>
      <x:c r="J39" s="50" t="str">
        <x:v>Need API/Database</x:v>
      </x:c>
      <x:c r="K39" s="50" t="str"/>
      <x:c r="L39" s="50" t="str">
        <x:v>Not Run</x:v>
      </x:c>
      <x:c r="M39" s="50" t="str"/>
      <x:c r="N39" s="50" t="str"/>
    </x:row>
    <x:row r="40" ht="72" customHeight="1">
      <x:c r="A40" s="50" t="str">
        <x:v>UST-036</x:v>
      </x:c>
      <x:c r="B40" s="50" t="str">
        <x:v>User Statistics</x:v>
      </x:c>
      <x:c r="C40" s="50" t="str">
        <x:v>Biểu đồ có toàn bộ giá trị bằng 0</x:v>
      </x:c>
      <x:c r="D40" s="50" t="str">
        <x:v>Thực hiện trên môi trường test/staging với dữ liệu an toàn.</x:v>
      </x:c>
      <x:c r="E40" s="50" t="str">
        <x:v>1. Mock tất cả giá trị = 0.
2. Mở biểu đồ.</x:v>
      </x:c>
      <x:c r="F40" s="50" t="str">
        <x:v>Biểu đồ/empty state xử lý đúng; trục không lỗi.</x:v>
      </x:c>
      <x:c r="G40" s="50" t="str">
        <x:v>Medium</x:v>
      </x:c>
      <x:c r="H40" s="50" t="str">
        <x:v>P2</x:v>
      </x:c>
      <x:c r="I40" s="50" t="str">
        <x:v>Boundary</x:v>
      </x:c>
      <x:c r="J40" s="50" t="str">
        <x:v>Need API/Database</x:v>
      </x:c>
      <x:c r="K40" s="50" t="str"/>
      <x:c r="L40" s="50" t="str">
        <x:v>Not Run</x:v>
      </x:c>
      <x:c r="M40" s="50" t="str"/>
      <x:c r="N40" s="50" t="str"/>
    </x:row>
    <x:row r="41" ht="72" customHeight="1">
      <x:c r="A41" s="50" t="str">
        <x:v>UST-037</x:v>
      </x:c>
      <x:c r="B41" s="50" t="str">
        <x:v>User Statistics</x:v>
      </x:c>
      <x:c r="C41" s="50" t="str">
        <x:v>Biểu đồ với số liệu rất lớn</x:v>
      </x:c>
      <x:c r="D41" s="50" t="str">
        <x:v>Thực hiện trên môi trường test/staging với dữ liệu an toàn.</x:v>
      </x:c>
      <x:c r="E41" s="50" t="str">
        <x:v>1. Mock số lớn.
2. Mở Dashboard.</x:v>
      </x:c>
      <x:c r="F41" s="50" t="str">
        <x:v>Trục tự scale, nhãn không tràn, tooltip đọc được.</x:v>
      </x:c>
      <x:c r="G41" s="50" t="str">
        <x:v>Low</x:v>
      </x:c>
      <x:c r="H41" s="50" t="str">
        <x:v>P3</x:v>
      </x:c>
      <x:c r="I41" s="50" t="str">
        <x:v>Boundary</x:v>
      </x:c>
      <x:c r="J41" s="50" t="str">
        <x:v>Need API/Database</x:v>
      </x:c>
      <x:c r="K41" s="50" t="str"/>
      <x:c r="L41" s="50" t="str">
        <x:v>Not Run</x:v>
      </x:c>
      <x:c r="M41" s="50" t="str"/>
      <x:c r="N41" s="50" t="str"/>
    </x:row>
    <x:row r="42" ht="72" customHeight="1">
      <x:c r="A42" s="50" t="str">
        <x:v>UST-038</x:v>
      </x:c>
      <x:c r="B42" s="50" t="str">
        <x:v>User Statistics</x:v>
      </x:c>
      <x:c r="C42" s="50" t="str">
        <x:v>Không hiển thị số âm trái nghiệp vụ</x:v>
      </x:c>
      <x:c r="D42" s="50" t="str">
        <x:v>Thực hiện trên môi trường test/staging với dữ liệu an toàn.</x:v>
      </x:c>
      <x:c r="E42" s="50" t="str">
        <x:v>1. Mock API trả số âm.
2. Mở Dashboard.</x:v>
      </x:c>
      <x:c r="F42" s="50" t="str">
        <x:v>UI cảnh báo/không hiển thị sai; testcase phát hiện vi phạm dữ liệu.</x:v>
      </x:c>
      <x:c r="G42" s="50" t="str">
        <x:v>High</x:v>
      </x:c>
      <x:c r="H42" s="50" t="str">
        <x:v>P1</x:v>
      </x:c>
      <x:c r="I42" s="50" t="str">
        <x:v>Negative</x:v>
      </x:c>
      <x:c r="J42" s="50" t="str">
        <x:v>Need API/Database</x:v>
      </x:c>
      <x:c r="K42" s="50" t="str"/>
      <x:c r="L42" s="50" t="str">
        <x:v>Not Run</x:v>
      </x:c>
      <x:c r="M42" s="50" t="str"/>
      <x:c r="N42" s="50" t="str"/>
    </x:row>
    <x:row r="43" ht="72" customHeight="1">
      <x:c r="A43" s="50" t="str">
        <x:v>UST-039</x:v>
      </x:c>
      <x:c r="B43" s="50" t="str">
        <x:v>User Statistics</x:v>
      </x:c>
      <x:c r="C43" s="50" t="str">
        <x:v>Hiển thị bảng Thống kê so với kỳ trước</x:v>
      </x:c>
      <x:c r="D43" s="50" t="str">
        <x:v>Có tài khoản hợp lệ; đã đăng nhập CMS; nhóm Vua Thợ được phép truy cập. Đang ở trang Dashboard.</x:v>
      </x:c>
      <x:c r="E43" s="50" t="str">
        <x:v>1. Tìm heading “Thống kê”.
2. Kiểm tra các cột Hiện tại, Kỳ trước, So sánh.</x:v>
      </x:c>
      <x:c r="F43" s="50" t="str">
        <x:v>Bảng hiển thị đủ cột và khoảng kỳ trước.</x:v>
      </x:c>
      <x:c r="G43" s="50" t="str">
        <x:v>High</x:v>
      </x:c>
      <x:c r="H43" s="50" t="str">
        <x:v>P1</x:v>
      </x:c>
      <x:c r="I43" s="50" t="str">
        <x:v>UI</x:v>
      </x:c>
      <x:c r="J43" s="50" t="str">
        <x:v>Automate</x:v>
      </x:c>
      <x:c r="K43" s="50" t="str"/>
      <x:c r="L43" s="50" t="str">
        <x:v>Not Run</x:v>
      </x:c>
      <x:c r="M43" s="50" t="str"/>
      <x:c r="N43" s="50" t="str"/>
    </x:row>
    <x:row r="44" ht="72" customHeight="1">
      <x:c r="A44" s="50" t="str">
        <x:v>UST-040</x:v>
      </x:c>
      <x:c r="B44" s="50" t="str">
        <x:v>User Statistics</x:v>
      </x:c>
      <x:c r="C44" s="50" t="str">
        <x:v>Kiểm tra dòng so sánh Người dùng</x:v>
      </x:c>
      <x:c r="D44" s="50" t="str">
        <x:v>Có tài khoản hợp lệ; đã đăng nhập CMS; nhóm Vua Thợ được phép truy cập. Đang ở trang Dashboard.</x:v>
      </x:c>
      <x:c r="E44" s="50" t="str">
        <x:v>1. Tìm dòng chỉ số “Người dùng”.
2. Đọc Hiện tại, Kỳ trước, phần trăm và hướng tăng/giảm.
3. Tính abs(current-previous)/previous*100.</x:v>
      </x:c>
      <x:c r="F44" s="50" t="str">
        <x:v>Giá trị là số không âm; phần trăm và hướng tăng/giảm đúng theo phép tính và quy tắc làm tròn.</x:v>
      </x:c>
      <x:c r="G44" s="50" t="str">
        <x:v>High</x:v>
      </x:c>
      <x:c r="H44" s="50" t="str">
        <x:v>P1</x:v>
      </x:c>
      <x:c r="I44" s="50" t="str">
        <x:v>Data Integrity</x:v>
      </x:c>
      <x:c r="J44" s="50" t="str">
        <x:v>Automate</x:v>
      </x:c>
      <x:c r="K44" s="50" t="str"/>
      <x:c r="L44" s="50" t="str">
        <x:v>Not Run</x:v>
      </x:c>
      <x:c r="M44" s="50" t="str"/>
      <x:c r="N44" s="50" t="str"/>
    </x:row>
    <x:row r="45" ht="72" customHeight="1">
      <x:c r="A45" s="50" t="str">
        <x:v>UST-041</x:v>
      </x:c>
      <x:c r="B45" s="50" t="str">
        <x:v>User Statistics</x:v>
      </x:c>
      <x:c r="C45" s="50" t="str">
        <x:v>Kiểm tra dòng so sánh Người dùng Đã KYC</x:v>
      </x:c>
      <x:c r="D45" s="50" t="str">
        <x:v>Có tài khoản hợp lệ; đã đăng nhập CMS; nhóm Vua Thợ được phép truy cập. Đang ở trang Dashboard.</x:v>
      </x:c>
      <x:c r="E45" s="50" t="str">
        <x:v>1. Tìm dòng chỉ số “Người dùng Đã KYC”.
2. Đọc Hiện tại, Kỳ trước, phần trăm và hướng tăng/giảm.
3. Tính abs(current-previous)/previous*100.</x:v>
      </x:c>
      <x:c r="F45" s="50" t="str">
        <x:v>Giá trị là số không âm; phần trăm và hướng tăng/giảm đúng theo phép tính và quy tắc làm tròn.</x:v>
      </x:c>
      <x:c r="G45" s="50" t="str">
        <x:v>High</x:v>
      </x:c>
      <x:c r="H45" s="50" t="str">
        <x:v>P1</x:v>
      </x:c>
      <x:c r="I45" s="50" t="str">
        <x:v>Data Integrity</x:v>
      </x:c>
      <x:c r="J45" s="50" t="str">
        <x:v>Automate</x:v>
      </x:c>
      <x:c r="K45" s="50" t="str"/>
      <x:c r="L45" s="50" t="str">
        <x:v>Not Run</x:v>
      </x:c>
      <x:c r="M45" s="50" t="str"/>
      <x:c r="N45" s="50" t="str"/>
    </x:row>
    <x:row r="46" ht="72" customHeight="1">
      <x:c r="A46" s="50" t="str">
        <x:v>UST-042</x:v>
      </x:c>
      <x:c r="B46" s="50" t="str">
        <x:v>User Statistics</x:v>
      </x:c>
      <x:c r="C46" s="50" t="str">
        <x:v>Kiểm tra dòng so sánh Thợ</x:v>
      </x:c>
      <x:c r="D46" s="50" t="str">
        <x:v>Có tài khoản hợp lệ; đã đăng nhập CMS; nhóm Vua Thợ được phép truy cập. Đang ở trang Dashboard.</x:v>
      </x:c>
      <x:c r="E46" s="50" t="str">
        <x:v>1. Tìm dòng chỉ số “Thợ”.
2. Đọc Hiện tại, Kỳ trước, phần trăm và hướng tăng/giảm.
3. Tính abs(current-previous)/previous*100.</x:v>
      </x:c>
      <x:c r="F46" s="50" t="str">
        <x:v>Giá trị là số không âm; phần trăm và hướng tăng/giảm đúng theo phép tính và quy tắc làm tròn.</x:v>
      </x:c>
      <x:c r="G46" s="50" t="str">
        <x:v>High</x:v>
      </x:c>
      <x:c r="H46" s="50" t="str">
        <x:v>P1</x:v>
      </x:c>
      <x:c r="I46" s="50" t="str">
        <x:v>Data Integrity</x:v>
      </x:c>
      <x:c r="J46" s="50" t="str">
        <x:v>Automate</x:v>
      </x:c>
      <x:c r="K46" s="50" t="str"/>
      <x:c r="L46" s="50" t="str">
        <x:v>Not Run</x:v>
      </x:c>
      <x:c r="M46" s="50" t="str"/>
      <x:c r="N46" s="50" t="str"/>
    </x:row>
    <x:row r="47" ht="72" customHeight="1">
      <x:c r="A47" s="50" t="str">
        <x:v>UST-043</x:v>
      </x:c>
      <x:c r="B47" s="50" t="str">
        <x:v>User Statistics</x:v>
      </x:c>
      <x:c r="C47" s="50" t="str">
        <x:v>Kiểm tra dòng so sánh Thợ Đã KYC</x:v>
      </x:c>
      <x:c r="D47" s="50" t="str">
        <x:v>Có tài khoản hợp lệ; đã đăng nhập CMS; nhóm Vua Thợ được phép truy cập. Đang ở trang Dashboard.</x:v>
      </x:c>
      <x:c r="E47" s="50" t="str">
        <x:v>1. Tìm dòng chỉ số “Thợ Đã KYC”.
2. Đọc Hiện tại, Kỳ trước, phần trăm và hướng tăng/giảm.
3. Tính abs(current-previous)/previous*100.</x:v>
      </x:c>
      <x:c r="F47" s="50" t="str">
        <x:v>Giá trị là số không âm; phần trăm và hướng tăng/giảm đúng theo phép tính và quy tắc làm tròn.</x:v>
      </x:c>
      <x:c r="G47" s="50" t="str">
        <x:v>High</x:v>
      </x:c>
      <x:c r="H47" s="50" t="str">
        <x:v>P1</x:v>
      </x:c>
      <x:c r="I47" s="50" t="str">
        <x:v>Data Integrity</x:v>
      </x:c>
      <x:c r="J47" s="50" t="str">
        <x:v>Automate</x:v>
      </x:c>
      <x:c r="K47" s="50" t="str"/>
      <x:c r="L47" s="50" t="str">
        <x:v>Not Run</x:v>
      </x:c>
      <x:c r="M47" s="50" t="str"/>
      <x:c r="N47" s="50" t="str"/>
    </x:row>
    <x:row r="48" ht="72" customHeight="1">
      <x:c r="A48" s="50" t="str">
        <x:v>UST-044</x:v>
      </x:c>
      <x:c r="B48" s="50" t="str">
        <x:v>User Statistics</x:v>
      </x:c>
      <x:c r="C48" s="50" t="str">
        <x:v>Khoảng kỳ trước liên tục với kỳ hiện tại</x:v>
      </x:c>
      <x:c r="D48" s="50" t="str">
        <x:v>Có tài khoản hợp lệ; đã đăng nhập CMS; nhóm Vua Thợ được phép truy cập. Đang ở trang Dashboard.</x:v>
      </x:c>
      <x:c r="E48" s="50" t="str">
        <x:v>1. Đọc khoảng hiện tại và dòng “So với …”.
2. Parse ngày.
3. So sánh độ dài và tính liên tục.</x:v>
      </x:c>
      <x:c r="F48" s="50" t="str">
        <x:v>Kỳ trước có độ dài tương ứng và kết thúc ngay trước kỳ hiện tại theo quy tắc nghiệp vụ.</x:v>
      </x:c>
      <x:c r="G48" s="50" t="str">
        <x:v>High</x:v>
      </x:c>
      <x:c r="H48" s="50" t="str">
        <x:v>P1</x:v>
      </x:c>
      <x:c r="I48" s="50" t="str">
        <x:v>Data Integrity</x:v>
      </x:c>
      <x:c r="J48" s="50" t="str">
        <x:v>Automate</x:v>
      </x:c>
      <x:c r="K48" s="50" t="str"/>
      <x:c r="L48" s="50" t="str">
        <x:v>Not Run</x:v>
      </x:c>
      <x:c r="M48" s="50" t="str"/>
      <x:c r="N48" s="50" t="str"/>
    </x:row>
    <x:row r="49" ht="72" customHeight="1">
      <x:c r="A49" s="50" t="str">
        <x:v>UST-045</x:v>
      </x:c>
      <x:c r="B49" s="50" t="str">
        <x:v>User Statistics</x:v>
      </x:c>
      <x:c r="C49" s="50" t="str">
        <x:v>Kỳ trước bằng 0</x:v>
      </x:c>
      <x:c r="D49" s="50" t="str">
        <x:v>Thực hiện trên môi trường test/staging với dữ liệu an toàn.</x:v>
      </x:c>
      <x:c r="E49" s="50" t="str">
        <x:v>1. Mock previous=0 và current&gt;0.
2. Mở bảng so sánh.</x:v>
      </x:c>
      <x:c r="F49" s="50" t="str">
        <x:v>Không hiển thị Infinity/NaN; hiển thị quy ước đặc biệt đúng nghiệp vụ.</x:v>
      </x:c>
      <x:c r="G49" s="50" t="str">
        <x:v>High</x:v>
      </x:c>
      <x:c r="H49" s="50" t="str">
        <x:v>P1</x:v>
      </x:c>
      <x:c r="I49" s="50" t="str">
        <x:v>Boundary</x:v>
      </x:c>
      <x:c r="J49" s="50" t="str">
        <x:v>Need business requirement</x:v>
      </x:c>
      <x:c r="K49" s="50" t="str"/>
      <x:c r="L49" s="50" t="str">
        <x:v>Not Run</x:v>
      </x:c>
      <x:c r="M49" s="50" t="str"/>
      <x:c r="N49" s="50" t="str"/>
    </x:row>
    <x:row r="50" ht="72" customHeight="1">
      <x:c r="A50" s="50" t="str">
        <x:v>UST-046</x:v>
      </x:c>
      <x:c r="B50" s="50" t="str">
        <x:v>User Statistics</x:v>
      </x:c>
      <x:c r="C50" s="50" t="str">
        <x:v>Hiện tại bằng kỳ trước</x:v>
      </x:c>
      <x:c r="D50" s="50" t="str">
        <x:v>Thực hiện trên môi trường test/staging với dữ liệu an toàn.</x:v>
      </x:c>
      <x:c r="E50" s="50" t="str">
        <x:v>1. Mock current=previous.
2. Mở bảng.</x:v>
      </x:c>
      <x:c r="F50" s="50" t="str">
        <x:v>Hiển thị 0% và trạng thái trung tính theo thiết kế.</x:v>
      </x:c>
      <x:c r="G50" s="50" t="str">
        <x:v>Medium</x:v>
      </x:c>
      <x:c r="H50" s="50" t="str">
        <x:v>P2</x:v>
      </x:c>
      <x:c r="I50" s="50" t="str">
        <x:v>Boundary</x:v>
      </x:c>
      <x:c r="J50" s="50" t="str">
        <x:v>Need API/Database</x:v>
      </x:c>
      <x:c r="K50" s="50" t="str"/>
      <x:c r="L50" s="50" t="str">
        <x:v>Not Run</x:v>
      </x:c>
      <x:c r="M50" s="50" t="str"/>
      <x:c r="N50" s="50" t="str"/>
    </x:row>
    <x:row r="51" ht="72" customHeight="1">
      <x:c r="A51" s="50" t="str">
        <x:v>UST-047</x:v>
      </x:c>
      <x:c r="B51" s="50" t="str">
        <x:v>User Statistics</x:v>
      </x:c>
      <x:c r="C51" s="50" t="str">
        <x:v>Hiện tại bằng 0 và kỳ trước &gt; 0</x:v>
      </x:c>
      <x:c r="D51" s="50" t="str">
        <x:v>Thực hiện trên môi trường test/staging với dữ liệu an toàn.</x:v>
      </x:c>
      <x:c r="E51" s="50" t="str">
        <x:v>1. Mock current=0, previous&gt;0.
2. Mở bảng.</x:v>
      </x:c>
      <x:c r="F51" s="50" t="str">
        <x:v>Hiển thị giảm 100% và hướng/màu phù hợp.</x:v>
      </x:c>
      <x:c r="G51" s="50" t="str">
        <x:v>High</x:v>
      </x:c>
      <x:c r="H51" s="50" t="str">
        <x:v>P1</x:v>
      </x:c>
      <x:c r="I51" s="50" t="str">
        <x:v>Boundary</x:v>
      </x:c>
      <x:c r="J51" s="50" t="str">
        <x:v>Need API/Database</x:v>
      </x:c>
      <x:c r="K51" s="50" t="str"/>
      <x:c r="L51" s="50" t="str">
        <x:v>Not Run</x:v>
      </x:c>
      <x:c r="M51" s="50" t="str"/>
      <x:c r="N51" s="50" t="str"/>
    </x:row>
    <x:row r="52" ht="72" customHeight="1">
      <x:c r="A52" s="50" t="str">
        <x:v>UST-048</x:v>
      </x:c>
      <x:c r="B52" s="50" t="str">
        <x:v>User Statistics</x:v>
      </x:c>
      <x:c r="C52" s="50" t="str">
        <x:v>Màu và icon tăng/giảm nhất quán</x:v>
      </x:c>
      <x:c r="D52" s="50" t="str">
        <x:v>Có tài khoản hợp lệ; đã đăng nhập CMS; nhóm Vua Thợ được phép truy cập. Đang ở trang Dashboard.</x:v>
      </x:c>
      <x:c r="E52" s="50" t="str">
        <x:v>1. Đọc hướng so sánh từng dòng.
2. Kiểm tra icon và class/màu.</x:v>
      </x:c>
      <x:c r="F52" s="50" t="str">
        <x:v>Tăng/giảm/trung tính dùng icon và màu đúng quy ước thiết kế.</x:v>
      </x:c>
      <x:c r="G52" s="50" t="str">
        <x:v>Medium</x:v>
      </x:c>
      <x:c r="H52" s="50" t="str">
        <x:v>P2</x:v>
      </x:c>
      <x:c r="I52" s="50" t="str">
        <x:v>UI</x:v>
      </x:c>
      <x:c r="J52" s="50" t="str">
        <x:v>Need business requirement</x:v>
      </x:c>
      <x:c r="K52" s="50" t="str"/>
      <x:c r="L52" s="50" t="str">
        <x:v>Not Run</x:v>
      </x:c>
      <x:c r="M52" s="50" t="str"/>
      <x:c r="N52" s="50" t="str"/>
    </x:row>
  </x:sheetData>
  <x:mergeCells>
    <x:mergeCell ref="A1:N1"/>
    <x:mergeCell ref="A2:N2"/>
  </x:mergeCells>
  <x:conditionalFormatting sqref="L5:L52">
    <x:cfRule type="expression" dxfId="45" priority="1">
      <x:formula>L5="Pass"</x:formula>
    </x:cfRule>
    <x:cfRule type="expression" dxfId="46" priority="2">
      <x:formula>L5="Fail"</x:formula>
    </x:cfRule>
    <x:cfRule type="expression" dxfId="47" priority="3">
      <x:formula>L5="Blocked"</x:formula>
    </x:cfRule>
    <x:cfRule type="expression" dxfId="48" priority="4">
      <x:formula>L5="Skipped"</x:formula>
    </x:cfRule>
    <x:cfRule type="expression" dxfId="49" priority="5">
      <x:formula>L5="Not Run"</x:formula>
    </x:cfRule>
  </x:conditionalFormatting>
  <x:conditionalFormatting sqref="G5:G52">
    <x:cfRule type="expression" dxfId="50" priority="6">
      <x:formula>G5="Critical"</x:formula>
    </x:cfRule>
    <x:cfRule type="expression" dxfId="51" priority="7">
      <x:formula>G5="High"</x:formula>
    </x:cfRule>
    <x:cfRule type="expression" dxfId="52" priority="8">
      <x:formula>G5="Medium"</x:formula>
    </x:cfRule>
    <x:cfRule type="expression" dxfId="53" priority="9">
      <x:formula>G5="Low"</x:formula>
    </x:cfRule>
  </x:conditionalFormatting>
  <x:dataValidations count="5">
    <x:dataValidation type="list" sqref="G5:G52">
      <x:formula1>"Critical,High,Medium,Low"</x:formula1>
    </x:dataValidation>
    <x:dataValidation type="list" sqref="H5:H52">
      <x:formula1>"P0,P1,P2,P3"</x:formula1>
    </x:dataValidation>
    <x:dataValidation type="list" sqref="I5:I52">
      <x:formula1>"Functional,UI,Navigation,Validation,Negative,Boundary,Data Integrity,Download,Session,Permission,Responsive,Accessibility,Recovery,Security"</x:formula1>
    </x:dataValidation>
    <x:dataValidation type="list" sqref="J5:J52">
      <x:formula1>"Automate,Need more DOM,Need API/Database,Need business requirement,Need API/Network simulation,Manual"</x:formula1>
    </x:dataValidation>
    <x:dataValidation type="list" sqref="L5:L52">
      <x:formula1>"Not Run,Pass,Fail,Blocked,Skipped"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ebc5c8d736465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42" hidden="0" customWidth="1"/>
    <x:col min="4" max="4" width="38" hidden="0" customWidth="1"/>
    <x:col min="5" max="5" width="55" hidden="0" customWidth="1"/>
    <x:col min="6" max="6" width="55" hidden="0" customWidth="1"/>
    <x:col min="7" max="7" width="11" hidden="0" customWidth="1"/>
    <x:col min="8" max="8" width="9" hidden="0" customWidth="1"/>
    <x:col min="9" max="9" width="18" hidden="0" customWidth="1"/>
    <x:col min="10" max="10" width="24" hidden="0" customWidth="1"/>
    <x:col min="11" max="11" width="38" hidden="0" customWidth="1"/>
    <x:col min="12" max="12" width="12" hidden="0" customWidth="1"/>
    <x:col min="13" max="13" width="16" hidden="0" customWidth="1"/>
    <x:col min="14" max="14" width="36" hidden="0" customWidth="1"/>
  </x:cols>
  <x:sheetData>
    <x:row r="1" ht="30" customHeight="1">
      <x:c r="A1" s="5" t="str">
        <x:v>INDUSTRY STATISTICS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3" t="str">
        <x:v>48 testcase thuộc module Industry Statistics.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2" customHeight="1">
      <x:c r="A4" s="45" t="str">
        <x:v>Test Case ID</x:v>
      </x:c>
      <x:c r="B4" s="45" t="str">
        <x:v>Module</x:v>
      </x:c>
      <x:c r="C4" s="45" t="str">
        <x:v>Test Scenario</x:v>
      </x:c>
      <x:c r="D4" s="45" t="str">
        <x:v>Precondition</x:v>
      </x:c>
      <x:c r="E4" s="45" t="str">
        <x:v>Test Steps</x:v>
      </x:c>
      <x:c r="F4" s="45" t="str">
        <x:v>Expected Result</x:v>
      </x:c>
      <x:c r="G4" s="45" t="str">
        <x:v>Severity</x:v>
      </x:c>
      <x:c r="H4" s="45" t="str">
        <x:v>Priority</x:v>
      </x:c>
      <x:c r="I4" s="45" t="str">
        <x:v>Test Type</x:v>
      </x:c>
      <x:c r="J4" s="45" t="str">
        <x:v>Automation Feasibility</x:v>
      </x:c>
      <x:c r="K4" s="45" t="str">
        <x:v>Actual Result</x:v>
      </x:c>
      <x:c r="L4" s="45" t="str">
        <x:v>Status</x:v>
      </x:c>
      <x:c r="M4" s="45" t="str">
        <x:v>Tester</x:v>
      </x:c>
      <x:c r="N4" s="45" t="str">
        <x:v>Notes / DOM Evidence</x:v>
      </x:c>
    </x:row>
    <x:row r="5" ht="72" customHeight="1">
      <x:c r="A5" s="50" t="str">
        <x:v>INS-001</x:v>
      </x:c>
      <x:c r="B5" s="50" t="str">
        <x:v>Industry Statistics</x:v>
      </x:c>
      <x:c r="C5" s="50" t="str">
        <x:v>Hiển thị section Danh Sách Ngành Nghề</x:v>
      </x:c>
      <x:c r="D5" s="50" t="str">
        <x:v>Có tài khoản hợp lệ; đã đăng nhập CMS; nhóm Vua Thợ được phép truy cập. Đang ở trang Dashboard.</x:v>
      </x:c>
      <x:c r="E5" s="50" t="str">
        <x:v>1. Cuộn đến section.
2. Kiểm tra heading, bộ lọc kỳ, custom switch, card và ranking.</x:v>
      </x:c>
      <x:c r="F5" s="50" t="str">
        <x:v>Các thành phần chính hiển thị đầy đủ.</x:v>
      </x:c>
      <x:c r="G5" s="50" t="str">
        <x:v>High</x:v>
      </x:c>
      <x:c r="H5" s="50" t="str">
        <x:v>P1</x:v>
      </x:c>
      <x:c r="I5" s="50" t="str">
        <x:v>UI</x:v>
      </x:c>
      <x:c r="J5" s="50" t="str">
        <x:v>Automate</x:v>
      </x:c>
      <x:c r="K5" s="50" t="str"/>
      <x:c r="L5" s="50" t="str">
        <x:v>Not Run</x:v>
      </x:c>
      <x:c r="M5" s="50" t="str"/>
      <x:c r="N5" s="50" t="str"/>
    </x:row>
    <x:row r="6" ht="72" customHeight="1">
      <x:c r="A6" s="50" t="str">
        <x:v>INS-002</x:v>
      </x:c>
      <x:c r="B6" s="50" t="str">
        <x:v>Industry Statistics</x:v>
      </x:c>
      <x:c r="C6" s="50" t="str">
        <x:v>Mặc định chọn kỳ Tháng cho ngành nghề</x:v>
      </x:c>
      <x:c r="D6" s="50" t="str">
        <x:v>Có tài khoản hợp lệ; đã đăng nhập CMS; nhóm Vua Thợ được phép truy cập. Đang ở trang Dashboard.</x:v>
      </x:c>
      <x:c r="E6" s="50" t="str">
        <x:v>1. Mở Dashboard mới.
2. Kiểm tra active state trong section ngành nghề.</x:v>
      </x:c>
      <x:c r="F6" s="50" t="str">
        <x:v>Chỉ Tháng active; nhãn và khoảng ngày phù hợp.</x:v>
      </x:c>
      <x:c r="G6" s="50" t="str">
        <x:v>Medium</x:v>
      </x:c>
      <x:c r="H6" s="50" t="str">
        <x:v>P2</x:v>
      </x:c>
      <x:c r="I6" s="50" t="str">
        <x:v>Functional</x:v>
      </x:c>
      <x:c r="J6" s="50" t="str">
        <x:v>Automate</x:v>
      </x:c>
      <x:c r="K6" s="50" t="str"/>
      <x:c r="L6" s="50" t="str">
        <x:v>Not Run</x:v>
      </x:c>
      <x:c r="M6" s="50" t="str"/>
      <x:c r="N6" s="50" t="str"/>
    </x:row>
    <x:row r="7" ht="72" customHeight="1">
      <x:c r="A7" s="50" t="str">
        <x:v>INS-003</x:v>
      </x:c>
      <x:c r="B7" s="50" t="str">
        <x:v>Industry Statistics</x:v>
      </x:c>
      <x:c r="C7" s="50" t="str">
        <x:v>Chỉ một kỳ ngành nghề active</x:v>
      </x:c>
      <x:c r="D7" s="50" t="str">
        <x:v>Có tài khoản hợp lệ; đã đăng nhập CMS; nhóm Vua Thợ được phép truy cập. Đang ở trang Dashboard.</x:v>
      </x:c>
      <x:c r="E7" s="50" t="str">
        <x:v>1. Click lần lượt các kỳ.
2. Đếm nút active trong section.</x:v>
      </x:c>
      <x:c r="F7" s="50" t="str">
        <x:v>Mỗi thời điểm chỉ một kỳ active.</x:v>
      </x:c>
      <x:c r="G7" s="50" t="str">
        <x:v>High</x:v>
      </x:c>
      <x:c r="H7" s="50" t="str">
        <x:v>P1</x:v>
      </x:c>
      <x:c r="I7" s="50" t="str">
        <x:v>Functional</x:v>
      </x:c>
      <x:c r="J7" s="50" t="str">
        <x:v>Automate</x:v>
      </x:c>
      <x:c r="K7" s="50" t="str"/>
      <x:c r="L7" s="50" t="str">
        <x:v>Not Run</x:v>
      </x:c>
      <x:c r="M7" s="50" t="str"/>
      <x:c r="N7" s="50" t="str"/>
    </x:row>
    <x:row r="8" ht="72" customHeight="1">
      <x:c r="A8" s="50" t="str">
        <x:v>INS-004</x:v>
      </x:c>
      <x:c r="B8" s="50" t="str">
        <x:v>Industry Statistics</x:v>
      </x:c>
      <x:c r="C8" s="50" t="str">
        <x:v>Chọn kỳ Ngày cho ngành nghề</x:v>
      </x:c>
      <x:c r="D8" s="50" t="str">
        <x:v>Có tài khoản hợp lệ; đã đăng nhập CMS; nhóm Vua Thợ được phép truy cập. Đang ở trang Dashboard.</x:v>
      </x:c>
      <x:c r="E8" s="50" t="str">
        <x:v>1. Trong section Ngành nghề click “Ngày”.
2. Chờ dữ liệu cập nhật.
3. Đọc nhãn, card tổng và ranking.</x:v>
      </x:c>
      <x:c r="F8" s="50" t="str">
        <x:v>Nút Ngày active; dữ liệu cập nhật đúng phạm vi.</x:v>
      </x:c>
      <x:c r="G8" s="50" t="str">
        <x:v>High</x:v>
      </x:c>
      <x:c r="H8" s="50" t="str">
        <x:v>P1</x:v>
      </x:c>
      <x:c r="I8" s="50" t="str">
        <x:v>Functional</x:v>
      </x:c>
      <x:c r="J8" s="50" t="str">
        <x:v>Automate</x:v>
      </x:c>
      <x:c r="K8" s="50" t="str"/>
      <x:c r="L8" s="50" t="str">
        <x:v>Not Run</x:v>
      </x:c>
      <x:c r="M8" s="50" t="str"/>
      <x:c r="N8" s="50" t="str"/>
    </x:row>
    <x:row r="9" ht="72" customHeight="1">
      <x:c r="A9" s="50" t="str">
        <x:v>INS-005</x:v>
      </x:c>
      <x:c r="B9" s="50" t="str">
        <x:v>Industry Statistics</x:v>
      </x:c>
      <x:c r="C9" s="50" t="str">
        <x:v>Chọn kỳ Tuần cho ngành nghề</x:v>
      </x:c>
      <x:c r="D9" s="50" t="str">
        <x:v>Có tài khoản hợp lệ; đã đăng nhập CMS; nhóm Vua Thợ được phép truy cập. Đang ở trang Dashboard.</x:v>
      </x:c>
      <x:c r="E9" s="50" t="str">
        <x:v>1. Trong section Ngành nghề click “Tuần”.
2. Chờ dữ liệu cập nhật.
3. Đọc nhãn, card tổng và ranking.</x:v>
      </x:c>
      <x:c r="F9" s="50" t="str">
        <x:v>Nút Tuần active; dữ liệu cập nhật đúng phạm vi.</x:v>
      </x:c>
      <x:c r="G9" s="50" t="str">
        <x:v>High</x:v>
      </x:c>
      <x:c r="H9" s="50" t="str">
        <x:v>P1</x:v>
      </x:c>
      <x:c r="I9" s="50" t="str">
        <x:v>Functional</x:v>
      </x:c>
      <x:c r="J9" s="50" t="str">
        <x:v>Automate</x:v>
      </x:c>
      <x:c r="K9" s="50" t="str"/>
      <x:c r="L9" s="50" t="str">
        <x:v>Not Run</x:v>
      </x:c>
      <x:c r="M9" s="50" t="str"/>
      <x:c r="N9" s="50" t="str"/>
    </x:row>
    <x:row r="10" ht="72" customHeight="1">
      <x:c r="A10" s="50" t="str">
        <x:v>INS-006</x:v>
      </x:c>
      <x:c r="B10" s="50" t="str">
        <x:v>Industry Statistics</x:v>
      </x:c>
      <x:c r="C10" s="50" t="str">
        <x:v>Chọn kỳ Tháng cho ngành nghề</x:v>
      </x:c>
      <x:c r="D10" s="50" t="str">
        <x:v>Có tài khoản hợp lệ; đã đăng nhập CMS; nhóm Vua Thợ được phép truy cập. Đang ở trang Dashboard.</x:v>
      </x:c>
      <x:c r="E10" s="50" t="str">
        <x:v>1. Trong section Ngành nghề click “Tháng”.
2. Chờ dữ liệu cập nhật.
3. Đọc nhãn, card tổng và ranking.</x:v>
      </x:c>
      <x:c r="F10" s="50" t="str">
        <x:v>Nút Tháng active; dữ liệu cập nhật đúng phạm vi.</x:v>
      </x:c>
      <x:c r="G10" s="50" t="str">
        <x:v>High</x:v>
      </x:c>
      <x:c r="H10" s="50" t="str">
        <x:v>P1</x:v>
      </x:c>
      <x:c r="I10" s="50" t="str">
        <x:v>Functional</x:v>
      </x:c>
      <x:c r="J10" s="50" t="str">
        <x:v>Automate</x:v>
      </x:c>
      <x:c r="K10" s="50" t="str"/>
      <x:c r="L10" s="50" t="str">
        <x:v>Not Run</x:v>
      </x:c>
      <x:c r="M10" s="50" t="str"/>
      <x:c r="N10" s="50" t="str"/>
    </x:row>
    <x:row r="11" ht="72" customHeight="1">
      <x:c r="A11" s="50" t="str">
        <x:v>INS-007</x:v>
      </x:c>
      <x:c r="B11" s="50" t="str">
        <x:v>Industry Statistics</x:v>
      </x:c>
      <x:c r="C11" s="50" t="str">
        <x:v>Chọn kỳ Quý cho ngành nghề</x:v>
      </x:c>
      <x:c r="D11" s="50" t="str">
        <x:v>Có tài khoản hợp lệ; đã đăng nhập CMS; nhóm Vua Thợ được phép truy cập. Đang ở trang Dashboard.</x:v>
      </x:c>
      <x:c r="E11" s="50" t="str">
        <x:v>1. Trong section Ngành nghề click “Quý”.
2. Chờ dữ liệu cập nhật.
3. Đọc nhãn, card tổng và ranking.</x:v>
      </x:c>
      <x:c r="F11" s="50" t="str">
        <x:v>Nút Quý active; dữ liệu cập nhật đúng phạm vi.</x:v>
      </x:c>
      <x:c r="G11" s="50" t="str">
        <x:v>High</x:v>
      </x:c>
      <x:c r="H11" s="50" t="str">
        <x:v>P1</x:v>
      </x:c>
      <x:c r="I11" s="50" t="str">
        <x:v>Functional</x:v>
      </x:c>
      <x:c r="J11" s="50" t="str">
        <x:v>Automate</x:v>
      </x:c>
      <x:c r="K11" s="50" t="str"/>
      <x:c r="L11" s="50" t="str">
        <x:v>Not Run</x:v>
      </x:c>
      <x:c r="M11" s="50" t="str"/>
      <x:c r="N11" s="50" t="str"/>
    </x:row>
    <x:row r="12" ht="72" customHeight="1">
      <x:c r="A12" s="50" t="str">
        <x:v>INS-008</x:v>
      </x:c>
      <x:c r="B12" s="50" t="str">
        <x:v>Industry Statistics</x:v>
      </x:c>
      <x:c r="C12" s="50" t="str">
        <x:v>Chọn kỳ Năm cho ngành nghề</x:v>
      </x:c>
      <x:c r="D12" s="50" t="str">
        <x:v>Có tài khoản hợp lệ; đã đăng nhập CMS; nhóm Vua Thợ được phép truy cập. Đang ở trang Dashboard.</x:v>
      </x:c>
      <x:c r="E12" s="50" t="str">
        <x:v>1. Trong section Ngành nghề click “Năm”.
2. Chờ dữ liệu cập nhật.
3. Đọc nhãn, card tổng và ranking.</x:v>
      </x:c>
      <x:c r="F12" s="50" t="str">
        <x:v>Nút Năm active; dữ liệu cập nhật đúng phạm vi.</x:v>
      </x:c>
      <x:c r="G12" s="50" t="str">
        <x:v>High</x:v>
      </x:c>
      <x:c r="H12" s="50" t="str">
        <x:v>P1</x:v>
      </x:c>
      <x:c r="I12" s="50" t="str">
        <x:v>Functional</x:v>
      </x:c>
      <x:c r="J12" s="50" t="str">
        <x:v>Automate</x:v>
      </x:c>
      <x:c r="K12" s="50" t="str"/>
      <x:c r="L12" s="50" t="str">
        <x:v>Not Run</x:v>
      </x:c>
      <x:c r="M12" s="50" t="str"/>
      <x:c r="N12" s="50" t="str"/>
    </x:row>
    <x:row r="13" ht="72" customHeight="1">
      <x:c r="A13" s="50" t="str">
        <x:v>INS-009</x:v>
      </x:c>
      <x:c r="B13" s="50" t="str">
        <x:v>Industry Statistics</x:v>
      </x:c>
      <x:c r="C13" s="50" t="str">
        <x:v>Chọn kỳ Tất cả cho ngành nghề</x:v>
      </x:c>
      <x:c r="D13" s="50" t="str">
        <x:v>Có tài khoản hợp lệ; đã đăng nhập CMS; nhóm Vua Thợ được phép truy cập. Đang ở trang Dashboard.</x:v>
      </x:c>
      <x:c r="E13" s="50" t="str">
        <x:v>1. Trong section Ngành nghề click “Tất cả”.
2. Chờ dữ liệu cập nhật.
3. Đọc nhãn, card tổng và ranking.</x:v>
      </x:c>
      <x:c r="F13" s="50" t="str">
        <x:v>Nút Tất cả active; dữ liệu cập nhật đúng phạm vi.</x:v>
      </x:c>
      <x:c r="G13" s="50" t="str">
        <x:v>High</x:v>
      </x:c>
      <x:c r="H13" s="50" t="str">
        <x:v>P1</x:v>
      </x:c>
      <x:c r="I13" s="50" t="str">
        <x:v>Functional</x:v>
      </x:c>
      <x:c r="J13" s="50" t="str">
        <x:v>Automate</x:v>
      </x:c>
      <x:c r="K13" s="50" t="str"/>
      <x:c r="L13" s="50" t="str">
        <x:v>Not Run</x:v>
      </x:c>
      <x:c r="M13" s="50" t="str"/>
      <x:c r="N13" s="50" t="str"/>
    </x:row>
    <x:row r="14" ht="72" customHeight="1">
      <x:c r="A14" s="50" t="str">
        <x:v>INS-010</x:v>
      </x:c>
      <x:c r="B14" s="50" t="str">
        <x:v>Industry Statistics</x:v>
      </x:c>
      <x:c r="C14" s="50" t="str">
        <x:v>Đổi kỳ ngành nghề không ảnh hưởng người dùng</x:v>
      </x:c>
      <x:c r="D14" s="50" t="str">
        <x:v>Có tài khoản hợp lệ; đã đăng nhập CMS; nhóm Vua Thợ được phép truy cập. Đang ở trang Dashboard.</x:v>
      </x:c>
      <x:c r="E14" s="50" t="str">
        <x:v>1. Ghi nhận kỳ người dùng.
2. Đổi kỳ ngành nghề.
3. Kiểm tra section người dùng.</x:v>
      </x:c>
      <x:c r="F14" s="50" t="str">
        <x:v>Kỳ và dữ liệu người dùng không thay đổi.</x:v>
      </x:c>
      <x:c r="G14" s="50" t="str">
        <x:v>High</x:v>
      </x:c>
      <x:c r="H14" s="50" t="str">
        <x:v>P1</x:v>
      </x:c>
      <x:c r="I14" s="50" t="str">
        <x:v>Data Integrity</x:v>
      </x:c>
      <x:c r="J14" s="50" t="str">
        <x:v>Automate</x:v>
      </x:c>
      <x:c r="K14" s="50" t="str"/>
      <x:c r="L14" s="50" t="str">
        <x:v>Not Run</x:v>
      </x:c>
      <x:c r="M14" s="50" t="str"/>
      <x:c r="N14" s="50" t="str"/>
    </x:row>
    <x:row r="15" ht="72" customHeight="1">
      <x:c r="A15" s="50" t="str">
        <x:v>INS-011</x:v>
      </x:c>
      <x:c r="B15" s="50" t="str">
        <x:v>Industry Statistics</x:v>
      </x:c>
      <x:c r="C15" s="50" t="str">
        <x:v>Click nhanh nhiều kỳ ngành nghề</x:v>
      </x:c>
      <x:c r="D15" s="50" t="str">
        <x:v>Có tài khoản hợp lệ; đã đăng nhập CMS; nhóm Vua Thợ được phép truy cập. Đang ở trang Dashboard.</x:v>
      </x:c>
      <x:c r="E15" s="50" t="str">
        <x:v>1. Click nhanh Ngày → Quý → Tất cả.
2. Chờ request cuối.</x:v>
      </x:c>
      <x:c r="F15" s="50" t="str">
        <x:v>Dữ liệu cuối cùng thuộc Tất cả; không bị response cũ ghi đè.</x:v>
      </x:c>
      <x:c r="G15" s="50" t="str">
        <x:v>High</x:v>
      </x:c>
      <x:c r="H15" s="50" t="str">
        <x:v>P1</x:v>
      </x:c>
      <x:c r="I15" s="50" t="str">
        <x:v>Recovery</x:v>
      </x:c>
      <x:c r="J15" s="50" t="str">
        <x:v>Need API/Database</x:v>
      </x:c>
      <x:c r="K15" s="50" t="str"/>
      <x:c r="L15" s="50" t="str">
        <x:v>Not Run</x:v>
      </x:c>
      <x:c r="M15" s="50" t="str"/>
      <x:c r="N15" s="50" t="str"/>
    </x:row>
    <x:row r="16" ht="72" customHeight="1">
      <x:c r="A16" s="50" t="str">
        <x:v>INS-012</x:v>
      </x:c>
      <x:c r="B16" s="50" t="str">
        <x:v>Industry Statistics</x:v>
      </x:c>
      <x:c r="C16" s="50" t="str">
        <x:v>Bộ chọn kỳ ngành nghề hỗ trợ bàn phím</x:v>
      </x:c>
      <x:c r="D16" s="50" t="str">
        <x:v>Có tài khoản hợp lệ; đã đăng nhập CMS; nhóm Vua Thợ được phép truy cập. Đang ở trang Dashboard.</x:v>
      </x:c>
      <x:c r="E16" s="50" t="str">
        <x:v>1. Tab đến nút kỳ.
2. Nhấn Enter/Space.</x:v>
      </x:c>
      <x:c r="F16" s="50" t="str">
        <x:v>Có thể chọn kỳ và thấy focus rõ.</x:v>
      </x:c>
      <x:c r="G16" s="50" t="str">
        <x:v>Medium</x:v>
      </x:c>
      <x:c r="H16" s="50" t="str">
        <x:v>P2</x:v>
      </x:c>
      <x:c r="I16" s="50" t="str">
        <x:v>Accessibility</x:v>
      </x:c>
      <x:c r="J16" s="50" t="str">
        <x:v>Automate</x:v>
      </x:c>
      <x:c r="K16" s="50" t="str"/>
      <x:c r="L16" s="50" t="str">
        <x:v>Not Run</x:v>
      </x:c>
      <x:c r="M16" s="50" t="str"/>
      <x:c r="N16" s="50" t="str"/>
    </x:row>
    <x:row r="17" ht="72" customHeight="1">
      <x:c r="A17" s="50" t="str">
        <x:v>INS-013</x:v>
      </x:c>
      <x:c r="B17" s="50" t="str">
        <x:v>Industry Statistics</x:v>
      </x:c>
      <x:c r="C17" s="50" t="str">
        <x:v>Switch Tùy chỉnh ngành nghề tắt mặc định</x:v>
      </x:c>
      <x:c r="D17" s="50" t="str">
        <x:v>Có tài khoản hợp lệ; đã đăng nhập CMS; nhóm Vua Thợ được phép truy cập. Đang ở trang Dashboard.</x:v>
      </x:c>
      <x:c r="E17" s="50" t="str">
        <x:v>1. Tìm switch Tùy chỉnh trong đúng section.
2. Đọc isSelected.</x:v>
      </x:c>
      <x:c r="F17" s="50" t="str">
        <x:v>Switch tắt mặc định.</x:v>
      </x:c>
      <x:c r="G17" s="50" t="str">
        <x:v>Low</x:v>
      </x:c>
      <x:c r="H17" s="50" t="str">
        <x:v>P3</x:v>
      </x:c>
      <x:c r="I17" s="50" t="str">
        <x:v>UI</x:v>
      </x:c>
      <x:c r="J17" s="50" t="str">
        <x:v>Automate</x:v>
      </x:c>
      <x:c r="K17" s="50" t="str"/>
      <x:c r="L17" s="50" t="str">
        <x:v>Not Run</x:v>
      </x:c>
      <x:c r="M17" s="50" t="str"/>
      <x:c r="N17" s="50" t="str"/>
    </x:row>
    <x:row r="18" ht="72" customHeight="1">
      <x:c r="A18" s="50" t="str">
        <x:v>INS-014</x:v>
      </x:c>
      <x:c r="B18" s="50" t="str">
        <x:v>Industry Statistics</x:v>
      </x:c>
      <x:c r="C18" s="50" t="str">
        <x:v>Bật custom date ngành nghề</x:v>
      </x:c>
      <x:c r="D18" s="50" t="str">
        <x:v>Có tài khoản hợp lệ; đã đăng nhập CMS; nhóm Vua Thợ được phép truy cập. Đang ở trang Dashboard.</x:v>
      </x:c>
      <x:c r="E18" s="50" t="str">
        <x:v>1. Bật switch.
2. Chờ date picker.</x:v>
      </x:c>
      <x:c r="F18" s="50" t="str">
        <x:v>Date picker xuất hiện trong section ngành nghề.</x:v>
      </x:c>
      <x:c r="G18" s="50" t="str">
        <x:v>High</x:v>
      </x:c>
      <x:c r="H18" s="50" t="str">
        <x:v>P1</x:v>
      </x:c>
      <x:c r="I18" s="50" t="str">
        <x:v>Functional</x:v>
      </x:c>
      <x:c r="J18" s="50" t="str">
        <x:v>Need more DOM</x:v>
      </x:c>
      <x:c r="K18" s="50" t="str"/>
      <x:c r="L18" s="50" t="str">
        <x:v>Not Run</x:v>
      </x:c>
      <x:c r="M18" s="50" t="str"/>
      <x:c r="N18" s="50" t="str"/>
    </x:row>
    <x:row r="19" ht="72" customHeight="1">
      <x:c r="A19" s="50" t="str">
        <x:v>INS-015</x:v>
      </x:c>
      <x:c r="B19" s="50" t="str">
        <x:v>Industry Statistics</x:v>
      </x:c>
      <x:c r="C19" s="50" t="str">
        <x:v>Áp dụng custom date ngành nghề hợp lệ</x:v>
      </x:c>
      <x:c r="D19" s="50" t="str">
        <x:v>Có tài khoản hợp lệ; đã đăng nhập CMS; nhóm Vua Thợ được phép truy cập. Đang ở trang Dashboard.</x:v>
      </x:c>
      <x:c r="E19" s="50" t="str">
        <x:v>1. Chọn start &lt; end.
2. Áp dụng.
3. Kiểm tra card và ranking.</x:v>
      </x:c>
      <x:c r="F19" s="50" t="str">
        <x:v>Dữ liệu ngành nghề cập nhật theo khoảng chọn.</x:v>
      </x:c>
      <x:c r="G19" s="50" t="str">
        <x:v>High</x:v>
      </x:c>
      <x:c r="H19" s="50" t="str">
        <x:v>P1</x:v>
      </x:c>
      <x:c r="I19" s="50" t="str">
        <x:v>Functional</x:v>
      </x:c>
      <x:c r="J19" s="50" t="str">
        <x:v>Need more DOM</x:v>
      </x:c>
      <x:c r="K19" s="50" t="str"/>
      <x:c r="L19" s="50" t="str">
        <x:v>Not Run</x:v>
      </x:c>
      <x:c r="M19" s="50" t="str"/>
      <x:c r="N19" s="50" t="str"/>
    </x:row>
    <x:row r="20" ht="72" customHeight="1">
      <x:c r="A20" s="50" t="str">
        <x:v>INS-016</x:v>
      </x:c>
      <x:c r="B20" s="50" t="str">
        <x:v>Industry Statistics</x:v>
      </x:c>
      <x:c r="C20" s="50" t="str">
        <x:v>Custom date ngành nghề start &gt; end</x:v>
      </x:c>
      <x:c r="D20" s="50" t="str">
        <x:v>Có tài khoản hợp lệ; đã đăng nhập CMS; nhóm Vua Thợ được phép truy cập. Đang ở trang Dashboard.</x:v>
      </x:c>
      <x:c r="E20" s="50" t="str">
        <x:v>1. Chọn start &gt; end.
2. Thử áp dụng.</x:v>
      </x:c>
      <x:c r="F20" s="50" t="str">
        <x:v>Chặn và hiển thị validation rõ.</x:v>
      </x:c>
      <x:c r="G20" s="50" t="str">
        <x:v>High</x:v>
      </x:c>
      <x:c r="H20" s="50" t="str">
        <x:v>P1</x:v>
      </x:c>
      <x:c r="I20" s="50" t="str">
        <x:v>Negative</x:v>
      </x:c>
      <x:c r="J20" s="50" t="str">
        <x:v>Need more DOM</x:v>
      </x:c>
      <x:c r="K20" s="50" t="str"/>
      <x:c r="L20" s="50" t="str">
        <x:v>Not Run</x:v>
      </x:c>
      <x:c r="M20" s="50" t="str"/>
      <x:c r="N20" s="50" t="str"/>
    </x:row>
    <x:row r="21" ht="72" customHeight="1">
      <x:c r="A21" s="50" t="str">
        <x:v>INS-017</x:v>
      </x:c>
      <x:c r="B21" s="50" t="str">
        <x:v>Industry Statistics</x:v>
      </x:c>
      <x:c r="C21" s="50" t="str">
        <x:v>Custom date ngành nghề cùng một ngày</x:v>
      </x:c>
      <x:c r="D21" s="50" t="str">
        <x:v>Có tài khoản hợp lệ; đã đăng nhập CMS; nhóm Vua Thợ được phép truy cập. Đang ở trang Dashboard.</x:v>
      </x:c>
      <x:c r="E21" s="50" t="str">
        <x:v>1. Chọn start=end.
2. Áp dụng.</x:v>
      </x:c>
      <x:c r="F21" s="50" t="str">
        <x:v>Hiển thị dữ liệu một ngày hoặc validation đúng đặc tả.</x:v>
      </x:c>
      <x:c r="G21" s="50" t="str">
        <x:v>Medium</x:v>
      </x:c>
      <x:c r="H21" s="50" t="str">
        <x:v>P2</x:v>
      </x:c>
      <x:c r="I21" s="50" t="str">
        <x:v>Boundary</x:v>
      </x:c>
      <x:c r="J21" s="50" t="str">
        <x:v>Need more DOM</x:v>
      </x:c>
      <x:c r="K21" s="50" t="str"/>
      <x:c r="L21" s="50" t="str">
        <x:v>Not Run</x:v>
      </x:c>
      <x:c r="M21" s="50" t="str"/>
      <x:c r="N21" s="50" t="str"/>
    </x:row>
    <x:row r="22" ht="72" customHeight="1">
      <x:c r="A22" s="50" t="str">
        <x:v>INS-018</x:v>
      </x:c>
      <x:c r="B22" s="50" t="str">
        <x:v>Industry Statistics</x:v>
      </x:c>
      <x:c r="C22" s="50" t="str">
        <x:v>Tắt custom date ngành nghề</x:v>
      </x:c>
      <x:c r="D22" s="50" t="str">
        <x:v>Có tài khoản hợp lệ; đã đăng nhập CMS; nhóm Vua Thợ được phép truy cập. Đang ở trang Dashboard.</x:v>
      </x:c>
      <x:c r="E22" s="50" t="str">
        <x:v>1. Áp dụng custom date.
2. Tắt switch.
3. Kiểm tra kỳ active.</x:v>
      </x:c>
      <x:c r="F22" s="50" t="str">
        <x:v>Date picker ẩn và dữ liệu quay về chế độ kỳ.</x:v>
      </x:c>
      <x:c r="G22" s="50" t="str">
        <x:v>Medium</x:v>
      </x:c>
      <x:c r="H22" s="50" t="str">
        <x:v>P2</x:v>
      </x:c>
      <x:c r="I22" s="50" t="str">
        <x:v>Functional</x:v>
      </x:c>
      <x:c r="J22" s="50" t="str">
        <x:v>Need more DOM</x:v>
      </x:c>
      <x:c r="K22" s="50" t="str"/>
      <x:c r="L22" s="50" t="str">
        <x:v>Not Run</x:v>
      </x:c>
      <x:c r="M22" s="50" t="str"/>
      <x:c r="N22" s="50" t="str"/>
    </x:row>
    <x:row r="23" ht="72" customHeight="1">
      <x:c r="A23" s="50" t="str">
        <x:v>INS-019</x:v>
      </x:c>
      <x:c r="B23" s="50" t="str">
        <x:v>Industry Statistics</x:v>
      </x:c>
      <x:c r="C23" s="50" t="str">
        <x:v>Switch custom ngành nghề độc lập với người dùng</x:v>
      </x:c>
      <x:c r="D23" s="50" t="str">
        <x:v>Có tài khoản hợp lệ; đã đăng nhập CMS; nhóm Vua Thợ được phép truy cập. Đang ở trang Dashboard.</x:v>
      </x:c>
      <x:c r="E23" s="50" t="str">
        <x:v>1. Bật switch ngành nghề.
2. Kiểm tra switch người dùng.</x:v>
      </x:c>
      <x:c r="F23" s="50" t="str">
        <x:v>Switch người dùng không thay đổi.</x:v>
      </x:c>
      <x:c r="G23" s="50" t="str">
        <x:v>High</x:v>
      </x:c>
      <x:c r="H23" s="50" t="str">
        <x:v>P1</x:v>
      </x:c>
      <x:c r="I23" s="50" t="str">
        <x:v>Data Integrity</x:v>
      </x:c>
      <x:c r="J23" s="50" t="str">
        <x:v>Automate</x:v>
      </x:c>
      <x:c r="K23" s="50" t="str"/>
      <x:c r="L23" s="50" t="str">
        <x:v>Not Run</x:v>
      </x:c>
      <x:c r="M23" s="50" t="str"/>
      <x:c r="N23" s="50" t="str"/>
    </x:row>
    <x:row r="24" ht="72" customHeight="1">
      <x:c r="A24" s="50" t="str">
        <x:v>INS-020</x:v>
      </x:c>
      <x:c r="B24" s="50" t="str">
        <x:v>Industry Statistics</x:v>
      </x:c>
      <x:c r="C24" s="50" t="str">
        <x:v>Hiển thị Số lượt ĐK Thợ chính</x:v>
      </x:c>
      <x:c r="D24" s="50" t="str">
        <x:v>Có tài khoản hợp lệ; đã đăng nhập CMS; nhóm Vua Thợ được phép truy cập. Đang ở trang Dashboard.</x:v>
      </x:c>
      <x:c r="E24" s="50" t="str">
        <x:v>1. Tìm card Thợ chính.
2. Đọc khoảng thời gian và giá trị.
3. Parse số.</x:v>
      </x:c>
      <x:c r="F24" s="50" t="str">
        <x:v>Giá trị là số nguyên không âm; khoảng ngày hợp lệ.</x:v>
      </x:c>
      <x:c r="G24" s="50" t="str">
        <x:v>High</x:v>
      </x:c>
      <x:c r="H24" s="50" t="str">
        <x:v>P1</x:v>
      </x:c>
      <x:c r="I24" s="50" t="str">
        <x:v>Data Integrity</x:v>
      </x:c>
      <x:c r="J24" s="50" t="str">
        <x:v>Automate</x:v>
      </x:c>
      <x:c r="K24" s="50" t="str"/>
      <x:c r="L24" s="50" t="str">
        <x:v>Not Run</x:v>
      </x:c>
      <x:c r="M24" s="50" t="str"/>
      <x:c r="N24" s="50" t="str"/>
    </x:row>
    <x:row r="25" ht="72" customHeight="1">
      <x:c r="A25" s="50" t="str">
        <x:v>INS-021</x:v>
      </x:c>
      <x:c r="B25" s="50" t="str">
        <x:v>Industry Statistics</x:v>
      </x:c>
      <x:c r="C25" s="50" t="str">
        <x:v>Hiển thị Số lượt ĐK Thợ phụ</x:v>
      </x:c>
      <x:c r="D25" s="50" t="str">
        <x:v>Có tài khoản hợp lệ; đã đăng nhập CMS; nhóm Vua Thợ được phép truy cập. Đang ở trang Dashboard.</x:v>
      </x:c>
      <x:c r="E25" s="50" t="str">
        <x:v>1. Tìm card Thợ phụ.
2. Đọc nhãn phạm vi và giá trị.
3. Parse số.</x:v>
      </x:c>
      <x:c r="F25" s="50" t="str">
        <x:v>Giá trị là số nguyên không âm; nhãn phạm vi hiển thị.</x:v>
      </x:c>
      <x:c r="G25" s="50" t="str">
        <x:v>High</x:v>
      </x:c>
      <x:c r="H25" s="50" t="str">
        <x:v>P1</x:v>
      </x:c>
      <x:c r="I25" s="50" t="str">
        <x:v>Data Integrity</x:v>
      </x:c>
      <x:c r="J25" s="50" t="str">
        <x:v>Automate</x:v>
      </x:c>
      <x:c r="K25" s="50" t="str"/>
      <x:c r="L25" s="50" t="str">
        <x:v>Not Run</x:v>
      </x:c>
      <x:c r="M25" s="50" t="str"/>
      <x:c r="N25" s="50" t="str"/>
    </x:row>
    <x:row r="26" ht="72" customHeight="1">
      <x:c r="A26" s="50" t="str">
        <x:v>INS-022</x:v>
      </x:c>
      <x:c r="B26" s="50" t="str">
        <x:v>Industry Statistics</x:v>
      </x:c>
      <x:c r="C26" s="50" t="str">
        <x:v>Thợ chính cập nhật khi đổi kỳ</x:v>
      </x:c>
      <x:c r="D26" s="50" t="str">
        <x:v>Có tài khoản hợp lệ; đã đăng nhập CMS; nhóm Vua Thợ được phép truy cập. Đang ở trang Dashboard.</x:v>
      </x:c>
      <x:c r="E26" s="50" t="str">
        <x:v>1. Ghi nhận giá trị Thợ chính.
2. Đổi kỳ.
3. Chờ cập nhật.</x:v>
      </x:c>
      <x:c r="F26" s="50" t="str">
        <x:v>Giá trị/nhãn thời gian cập nhật theo kỳ.</x:v>
      </x:c>
      <x:c r="G26" s="50" t="str">
        <x:v>High</x:v>
      </x:c>
      <x:c r="H26" s="50" t="str">
        <x:v>P1</x:v>
      </x:c>
      <x:c r="I26" s="50" t="str">
        <x:v>Data Integrity</x:v>
      </x:c>
      <x:c r="J26" s="50" t="str">
        <x:v>Automate</x:v>
      </x:c>
      <x:c r="K26" s="50" t="str"/>
      <x:c r="L26" s="50" t="str">
        <x:v>Not Run</x:v>
      </x:c>
      <x:c r="M26" s="50" t="str"/>
      <x:c r="N26" s="50" t="str"/>
    </x:row>
    <x:row r="27" ht="72" customHeight="1">
      <x:c r="A27" s="50" t="str">
        <x:v>INS-023</x:v>
      </x:c>
      <x:c r="B27" s="50" t="str">
        <x:v>Industry Statistics</x:v>
      </x:c>
      <x:c r="C27" s="50" t="str">
        <x:v>Phạm vi Thợ phụ khi đổi kỳ</x:v>
      </x:c>
      <x:c r="D27" s="50" t="str">
        <x:v>Có tài khoản hợp lệ; đã đăng nhập CMS; nhóm Vua Thợ được phép truy cập. Đang ở trang Dashboard.</x:v>
      </x:c>
      <x:c r="E27" s="50" t="str">
        <x:v>1. Ghi nhận nhãn “Từ trước đến nay” và giá trị.
2. Đổi kỳ.
3. Quan sát thay đổi.</x:v>
      </x:c>
      <x:c r="F27" s="50" t="str">
        <x:v>Hành vi khớp quy định nghiệp vụ; nhãn và dữ liệu không mâu thuẫn.</x:v>
      </x:c>
      <x:c r="G27" s="50" t="str">
        <x:v>High</x:v>
      </x:c>
      <x:c r="H27" s="50" t="str">
        <x:v>P1</x:v>
      </x:c>
      <x:c r="I27" s="50" t="str">
        <x:v>Data Integrity</x:v>
      </x:c>
      <x:c r="J27" s="50" t="str">
        <x:v>Need business requirement</x:v>
      </x:c>
      <x:c r="K27" s="50" t="str"/>
      <x:c r="L27" s="50" t="str">
        <x:v>Not Run</x:v>
      </x:c>
      <x:c r="M27" s="50" t="str"/>
      <x:c r="N27" s="50" t="str"/>
    </x:row>
    <x:row r="28" ht="72" customHeight="1">
      <x:c r="A28" s="50" t="str">
        <x:v>INS-024</x:v>
      </x:c>
      <x:c r="B28" s="50" t="str">
        <x:v>Industry Statistics</x:v>
      </x:c>
      <x:c r="C28" s="50" t="str">
        <x:v>Không hoán đổi số Thợ chính và Thợ phụ</x:v>
      </x:c>
      <x:c r="D28" s="50" t="str">
        <x:v>Có tài khoản hợp lệ; đã đăng nhập CMS; nhóm Vua Thợ được phép truy cập. Đang ở trang Dashboard.</x:v>
      </x:c>
      <x:c r="E28" s="50" t="str">
        <x:v>1. Đọc hai card theo heading.
2. Đối chiếu nguồn dữ liệu/API nếu có.</x:v>
      </x:c>
      <x:c r="F28" s="50" t="str">
        <x:v>Mỗi số liệu nằm đúng card.</x:v>
      </x:c>
      <x:c r="G28" s="50" t="str">
        <x:v>High</x:v>
      </x:c>
      <x:c r="H28" s="50" t="str">
        <x:v>P1</x:v>
      </x:c>
      <x:c r="I28" s="50" t="str">
        <x:v>Data Integrity</x:v>
      </x:c>
      <x:c r="J28" s="50" t="str">
        <x:v>Need API/Database</x:v>
      </x:c>
      <x:c r="K28" s="50" t="str"/>
      <x:c r="L28" s="50" t="str">
        <x:v>Not Run</x:v>
      </x:c>
      <x:c r="M28" s="50" t="str"/>
      <x:c r="N28" s="50" t="str"/>
    </x:row>
    <x:row r="29" ht="72" customHeight="1">
      <x:c r="A29" s="50" t="str">
        <x:v>INS-025</x:v>
      </x:c>
      <x:c r="B29" s="50" t="str">
        <x:v>Industry Statistics</x:v>
      </x:c>
      <x:c r="C29" s="50" t="str">
        <x:v>Card đăng ký bằng 0</x:v>
      </x:c>
      <x:c r="D29" s="50" t="str">
        <x:v>Thực hiện trên môi trường test/staging với dữ liệu an toàn.</x:v>
      </x:c>
      <x:c r="E29" s="50" t="str">
        <x:v>1. Mock giá trị 0.
2. Mở section.</x:v>
      </x:c>
      <x:c r="F29" s="50" t="str">
        <x:v>Hiển thị 0 hợp lệ; ranking/percentage xử lý không NaN.</x:v>
      </x:c>
      <x:c r="G29" s="50" t="str">
        <x:v>Medium</x:v>
      </x:c>
      <x:c r="H29" s="50" t="str">
        <x:v>P2</x:v>
      </x:c>
      <x:c r="I29" s="50" t="str">
        <x:v>Boundary</x:v>
      </x:c>
      <x:c r="J29" s="50" t="str">
        <x:v>Need API/Database</x:v>
      </x:c>
      <x:c r="K29" s="50" t="str"/>
      <x:c r="L29" s="50" t="str">
        <x:v>Not Run</x:v>
      </x:c>
      <x:c r="M29" s="50" t="str"/>
      <x:c r="N29" s="50" t="str"/>
    </x:row>
    <x:row r="30" ht="72" customHeight="1">
      <x:c r="A30" s="50" t="str">
        <x:v>INS-026</x:v>
      </x:c>
      <x:c r="B30" s="50" t="str">
        <x:v>Industry Statistics</x:v>
      </x:c>
      <x:c r="C30" s="50" t="str">
        <x:v>Hiển thị danh sách Top ngành nghề</x:v>
      </x:c>
      <x:c r="D30" s="50" t="str">
        <x:v>Có tài khoản hợp lệ; đã đăng nhập CMS; nhóm Vua Thợ được phép truy cập. Đang ở trang Dashboard.</x:v>
      </x:c>
      <x:c r="E30" s="50" t="str">
        <x:v>1. Tìm heading Top ngành nghề.
2. Lấy các item ranking displayed.</x:v>
      </x:c>
      <x:c r="F30" s="50" t="str">
        <x:v>Có danh sách hoặc empty state hợp lệ; không có item rỗng.</x:v>
      </x:c>
      <x:c r="G30" s="50" t="str">
        <x:v>High</x:v>
      </x:c>
      <x:c r="H30" s="50" t="str">
        <x:v>P1</x:v>
      </x:c>
      <x:c r="I30" s="50" t="str">
        <x:v>UI</x:v>
      </x:c>
      <x:c r="J30" s="50" t="str">
        <x:v>Automate</x:v>
      </x:c>
      <x:c r="K30" s="50" t="str"/>
      <x:c r="L30" s="50" t="str">
        <x:v>Not Run</x:v>
      </x:c>
      <x:c r="M30" s="50" t="str"/>
      <x:c r="N30" s="50" t="str"/>
    </x:row>
    <x:row r="31" ht="72" customHeight="1">
      <x:c r="A31" s="50" t="str">
        <x:v>INS-027</x:v>
      </x:c>
      <x:c r="B31" s="50" t="str">
        <x:v>Industry Statistics</x:v>
      </x:c>
      <x:c r="C31" s="50" t="str">
        <x:v>Thứ hạng liên tục và không trùng</x:v>
      </x:c>
      <x:c r="D31" s="50" t="str">
        <x:v>Có tài khoản hợp lệ; đã đăng nhập CMS; nhóm Vua Thợ được phép truy cập. Đang ở trang Dashboard.</x:v>
      </x:c>
      <x:c r="E31" s="50" t="str">
        <x:v>1. Đọc rank từng item.
2. Parse số và kiểm tra chuỗi.</x:v>
      </x:c>
      <x:c r="F31" s="50" t="str">
        <x:v>Rank bắt đầu từ 1, tăng liên tục, không trùng.</x:v>
      </x:c>
      <x:c r="G31" s="50" t="str">
        <x:v>High</x:v>
      </x:c>
      <x:c r="H31" s="50" t="str">
        <x:v>P1</x:v>
      </x:c>
      <x:c r="I31" s="50" t="str">
        <x:v>Data Integrity</x:v>
      </x:c>
      <x:c r="J31" s="50" t="str">
        <x:v>Automate</x:v>
      </x:c>
      <x:c r="K31" s="50" t="str"/>
      <x:c r="L31" s="50" t="str">
        <x:v>Not Run</x:v>
      </x:c>
      <x:c r="M31" s="50" t="str"/>
      <x:c r="N31" s="50" t="str"/>
    </x:row>
    <x:row r="32" ht="72" customHeight="1">
      <x:c r="A32" s="50" t="str">
        <x:v>INS-028</x:v>
      </x:c>
      <x:c r="B32" s="50" t="str">
        <x:v>Industry Statistics</x:v>
      </x:c>
      <x:c r="C32" s="50" t="str">
        <x:v>Tên ngành nghề không rỗng</x:v>
      </x:c>
      <x:c r="D32" s="50" t="str">
        <x:v>Có tài khoản hợp lệ; đã đăng nhập CMS; nhóm Vua Thợ được phép truy cập. Đang ở trang Dashboard.</x:v>
      </x:c>
      <x:c r="E32" s="50" t="str">
        <x:v>1. Đọc tên từng item.
2. Trim khoảng trắng.</x:v>
      </x:c>
      <x:c r="F32" s="50" t="str">
        <x:v>Tên không rỗng và không chỉ gồm khoảng trắng.</x:v>
      </x:c>
      <x:c r="G32" s="50" t="str">
        <x:v>Medium</x:v>
      </x:c>
      <x:c r="H32" s="50" t="str">
        <x:v>P2</x:v>
      </x:c>
      <x:c r="I32" s="50" t="str">
        <x:v>Validation</x:v>
      </x:c>
      <x:c r="J32" s="50" t="str">
        <x:v>Automate</x:v>
      </x:c>
      <x:c r="K32" s="50" t="str"/>
      <x:c r="L32" s="50" t="str">
        <x:v>Not Run</x:v>
      </x:c>
      <x:c r="M32" s="50" t="str"/>
      <x:c r="N32" s="50" t="str"/>
    </x:row>
    <x:row r="33" ht="72" customHeight="1">
      <x:c r="A33" s="50" t="str">
        <x:v>INS-029</x:v>
      </x:c>
      <x:c r="B33" s="50" t="str">
        <x:v>Industry Statistics</x:v>
      </x:c>
      <x:c r="C33" s="50" t="str">
        <x:v>Danh sách sắp giảm dần theo Trong kỳ</x:v>
      </x:c>
      <x:c r="D33" s="50" t="str">
        <x:v>Có tài khoản hợp lệ; đã đăng nhập CMS; nhóm Vua Thợ được phép truy cập. Đang ở trang Dashboard.</x:v>
      </x:c>
      <x:c r="E33" s="50" t="str">
        <x:v>1. Đọc số Trong kỳ từng item.
2. So sánh thứ tự.</x:v>
      </x:c>
      <x:c r="F33" s="50" t="str">
        <x:v>Giá trị không tăng khi đi xuống danh sách; tie xử lý theo đặc tả.</x:v>
      </x:c>
      <x:c r="G33" s="50" t="str">
        <x:v>High</x:v>
      </x:c>
      <x:c r="H33" s="50" t="str">
        <x:v>P1</x:v>
      </x:c>
      <x:c r="I33" s="50" t="str">
        <x:v>Data Integrity</x:v>
      </x:c>
      <x:c r="J33" s="50" t="str">
        <x:v>Automate</x:v>
      </x:c>
      <x:c r="K33" s="50" t="str"/>
      <x:c r="L33" s="50" t="str">
        <x:v>Not Run</x:v>
      </x:c>
      <x:c r="M33" s="50" t="str"/>
      <x:c r="N33" s="50" t="str"/>
    </x:row>
    <x:row r="34" ht="72" customHeight="1">
      <x:c r="A34" s="50" t="str">
        <x:v>INS-030</x:v>
      </x:c>
      <x:c r="B34" s="50" t="str">
        <x:v>Industry Statistics</x:v>
      </x:c>
      <x:c r="C34" s="50" t="str">
        <x:v>Tổng cộng không nhỏ hơn Trong kỳ</x:v>
      </x:c>
      <x:c r="D34" s="50" t="str">
        <x:v>Có tài khoản hợp lệ; đã đăng nhập CMS; nhóm Vua Thợ được phép truy cập. Đang ở trang Dashboard.</x:v>
      </x:c>
      <x:c r="E34" s="50" t="str">
        <x:v>1. Đọc Trong kỳ và Tổng cộng từng item.
2. Parse số.
3. So sánh.</x:v>
      </x:c>
      <x:c r="F34" s="50" t="str">
        <x:v>0 ≤ Trong kỳ ≤ Tổng cộng.</x:v>
      </x:c>
      <x:c r="G34" s="50" t="str">
        <x:v>High</x:v>
      </x:c>
      <x:c r="H34" s="50" t="str">
        <x:v>P1</x:v>
      </x:c>
      <x:c r="I34" s="50" t="str">
        <x:v>Data Integrity</x:v>
      </x:c>
      <x:c r="J34" s="50" t="str">
        <x:v>Automate</x:v>
      </x:c>
      <x:c r="K34" s="50" t="str"/>
      <x:c r="L34" s="50" t="str">
        <x:v>Not Run</x:v>
      </x:c>
      <x:c r="M34" s="50" t="str"/>
      <x:c r="N34" s="50" t="str"/>
    </x:row>
    <x:row r="35" ht="72" customHeight="1">
      <x:c r="A35" s="50" t="str">
        <x:v>INS-031</x:v>
      </x:c>
      <x:c r="B35" s="50" t="str">
        <x:v>Industry Statistics</x:v>
      </x:c>
      <x:c r="C35" s="50" t="str">
        <x:v>Tính đúng thị phần từng ngành nghề</x:v>
      </x:c>
      <x:c r="D35" s="50" t="str">
        <x:v>Có tài khoản hợp lệ; đã đăng nhập CMS; nhóm Vua Thợ được phép truy cập. Đang ở trang Dashboard.</x:v>
      </x:c>
      <x:c r="E35" s="50" t="str">
        <x:v>1. Đọc Trong kỳ, tổng ĐK Thợ chính và % thị phần.
2. Tính Trong kỳ/Tổng*100.</x:v>
      </x:c>
      <x:c r="F35" s="50" t="str">
        <x:v>Phần trăm khớp trong sai số làm tròn 0,01; không NaN/Infinity.</x:v>
      </x:c>
      <x:c r="G35" s="50" t="str">
        <x:v>High</x:v>
      </x:c>
      <x:c r="H35" s="50" t="str">
        <x:v>P1</x:v>
      </x:c>
      <x:c r="I35" s="50" t="str">
        <x:v>Data Integrity</x:v>
      </x:c>
      <x:c r="J35" s="50" t="str">
        <x:v>Automate</x:v>
      </x:c>
      <x:c r="K35" s="50" t="str"/>
      <x:c r="L35" s="50" t="str">
        <x:v>Not Run</x:v>
      </x:c>
      <x:c r="M35" s="50" t="str"/>
      <x:c r="N35" s="50" t="str"/>
    </x:row>
    <x:row r="36" ht="72" customHeight="1">
      <x:c r="A36" s="50" t="str">
        <x:v>INS-032</x:v>
      </x:c>
      <x:c r="B36" s="50" t="str">
        <x:v>Industry Statistics</x:v>
      </x:c>
      <x:c r="C36" s="50" t="str">
        <x:v>Tổng thị phần xấp xỉ 100% khi danh sách đầy đủ</x:v>
      </x:c>
      <x:c r="D36" s="50" t="str">
        <x:v>Có tài khoản hợp lệ; đã đăng nhập CMS; nhóm Vua Thợ được phép truy cập. Đang ở trang Dashboard.</x:v>
      </x:c>
      <x:c r="E36" s="50" t="str">
        <x:v>1. Cộng % thị phần tất cả item hiển thị.
2. Xác định danh sách có đầy đủ hay chỉ top.</x:v>
      </x:c>
      <x:c r="F36" s="50" t="str">
        <x:v>Nếu danh sách đầy đủ, tổng xấp xỉ 100% trong sai số làm tròn; nếu chỉ top, ghi nhận phần còn lại.</x:v>
      </x:c>
      <x:c r="G36" s="50" t="str">
        <x:v>High</x:v>
      </x:c>
      <x:c r="H36" s="50" t="str">
        <x:v>P1</x:v>
      </x:c>
      <x:c r="I36" s="50" t="str">
        <x:v>Data Integrity</x:v>
      </x:c>
      <x:c r="J36" s="50" t="str">
        <x:v>Automate</x:v>
      </x:c>
      <x:c r="K36" s="50" t="str"/>
      <x:c r="L36" s="50" t="str">
        <x:v>Not Run</x:v>
      </x:c>
      <x:c r="M36" s="50" t="str"/>
      <x:c r="N36" s="50" t="str"/>
    </x:row>
    <x:row r="37" ht="72" customHeight="1">
      <x:c r="A37" s="50" t="str">
        <x:v>INS-033</x:v>
      </x:c>
      <x:c r="B37" s="50" t="str">
        <x:v>Industry Statistics</x:v>
      </x:c>
      <x:c r="C37" s="50" t="str">
        <x:v>Tổng Trong kỳ khớp số ĐK Thợ chính khi danh sách đầy đủ</x:v>
      </x:c>
      <x:c r="D37" s="50" t="str">
        <x:v>Có tài khoản hợp lệ; đã đăng nhập CMS; nhóm Vua Thợ được phép truy cập. Đang ở trang Dashboard.</x:v>
      </x:c>
      <x:c r="E37" s="50" t="str">
        <x:v>1. Cộng Trong kỳ của các item.
2. So sánh card Thợ chính.</x:v>
      </x:c>
      <x:c r="F37" s="50" t="str">
        <x:v>Nếu danh sách đầy đủ, tổng bằng card; nếu chỉ top, tổng không vượt card.</x:v>
      </x:c>
      <x:c r="G37" s="50" t="str">
        <x:v>High</x:v>
      </x:c>
      <x:c r="H37" s="50" t="str">
        <x:v>P1</x:v>
      </x:c>
      <x:c r="I37" s="50" t="str">
        <x:v>Data Integrity</x:v>
      </x:c>
      <x:c r="J37" s="50" t="str">
        <x:v>Automate</x:v>
      </x:c>
      <x:c r="K37" s="50" t="str"/>
      <x:c r="L37" s="50" t="str">
        <x:v>Not Run</x:v>
      </x:c>
      <x:c r="M37" s="50" t="str"/>
      <x:c r="N37" s="50" t="str"/>
    </x:row>
    <x:row r="38" ht="72" customHeight="1">
      <x:c r="A38" s="50" t="str">
        <x:v>INS-034</x:v>
      </x:c>
      <x:c r="B38" s="50" t="str">
        <x:v>Industry Statistics</x:v>
      </x:c>
      <x:c r="C38" s="50" t="str">
        <x:v>Không có ngành nghề trùng tên</x:v>
      </x:c>
      <x:c r="D38" s="50" t="str">
        <x:v>Có tài khoản hợp lệ; đã đăng nhập CMS; nhóm Vua Thợ được phép truy cập. Đang ở trang Dashboard.</x:v>
      </x:c>
      <x:c r="E38" s="50" t="str">
        <x:v>1. Chuẩn hóa tên từng item.
2. Kiểm tra duplicate.</x:v>
      </x:c>
      <x:c r="F38" s="50" t="str">
        <x:v>Không có item trùng tên trong cùng ranking.</x:v>
      </x:c>
      <x:c r="G38" s="50" t="str">
        <x:v>Medium</x:v>
      </x:c>
      <x:c r="H38" s="50" t="str">
        <x:v>P2</x:v>
      </x:c>
      <x:c r="I38" s="50" t="str">
        <x:v>Data Integrity</x:v>
      </x:c>
      <x:c r="J38" s="50" t="str">
        <x:v>Automate</x:v>
      </x:c>
      <x:c r="K38" s="50" t="str"/>
      <x:c r="L38" s="50" t="str">
        <x:v>Not Run</x:v>
      </x:c>
      <x:c r="M38" s="50" t="str"/>
      <x:c r="N38" s="50" t="str"/>
    </x:row>
    <x:row r="39" ht="72" customHeight="1">
      <x:c r="A39" s="50" t="str">
        <x:v>INS-035</x:v>
      </x:c>
      <x:c r="B39" s="50" t="str">
        <x:v>Industry Statistics</x:v>
      </x:c>
      <x:c r="C39" s="50" t="str">
        <x:v>Xử lý đồng hạng</x:v>
      </x:c>
      <x:c r="D39" s="50" t="str">
        <x:v>Thực hiện trên môi trường test/staging với dữ liệu an toàn.</x:v>
      </x:c>
      <x:c r="E39" s="50" t="str">
        <x:v>1. Mock nhiều ngành có cùng Trong kỳ.
2. Mở ranking.</x:v>
      </x:c>
      <x:c r="F39" s="50" t="str">
        <x:v>Thứ tự/tie-break đúng quy tắc nghiệp vụ và ổn định.</x:v>
      </x:c>
      <x:c r="G39" s="50" t="str">
        <x:v>Medium</x:v>
      </x:c>
      <x:c r="H39" s="50" t="str">
        <x:v>P2</x:v>
      </x:c>
      <x:c r="I39" s="50" t="str">
        <x:v>Boundary</x:v>
      </x:c>
      <x:c r="J39" s="50" t="str">
        <x:v>Need business requirement</x:v>
      </x:c>
      <x:c r="K39" s="50" t="str"/>
      <x:c r="L39" s="50" t="str">
        <x:v>Not Run</x:v>
      </x:c>
      <x:c r="M39" s="50" t="str"/>
      <x:c r="N39" s="50" t="str"/>
    </x:row>
    <x:row r="40" ht="72" customHeight="1">
      <x:c r="A40" s="50" t="str">
        <x:v>INS-036</x:v>
      </x:c>
      <x:c r="B40" s="50" t="str">
        <x:v>Industry Statistics</x:v>
      </x:c>
      <x:c r="C40" s="50" t="str">
        <x:v>Ranking không có dữ liệu</x:v>
      </x:c>
      <x:c r="D40" s="50" t="str">
        <x:v>Thực hiện trên môi trường test/staging với dữ liệu an toàn.</x:v>
      </x:c>
      <x:c r="E40" s="50" t="str">
        <x:v>1. Mock kỳ không có đăng ký.
2. Mở section.</x:v>
      </x:c>
      <x:c r="F40" s="50" t="str">
        <x:v>Hiển thị empty state; không render rank rỗng hoặc chia cho 0.</x:v>
      </x:c>
      <x:c r="G40" s="50" t="str">
        <x:v>Medium</x:v>
      </x:c>
      <x:c r="H40" s="50" t="str">
        <x:v>P2</x:v>
      </x:c>
      <x:c r="I40" s="50" t="str">
        <x:v>Boundary</x:v>
      </x:c>
      <x:c r="J40" s="50" t="str">
        <x:v>Need API/Database</x:v>
      </x:c>
      <x:c r="K40" s="50" t="str"/>
      <x:c r="L40" s="50" t="str">
        <x:v>Not Run</x:v>
      </x:c>
      <x:c r="M40" s="50" t="str"/>
      <x:c r="N40" s="50" t="str"/>
    </x:row>
    <x:row r="41" ht="72" customHeight="1">
      <x:c r="A41" s="50" t="str">
        <x:v>INS-037</x:v>
      </x:c>
      <x:c r="B41" s="50" t="str">
        <x:v>Industry Statistics</x:v>
      </x:c>
      <x:c r="C41" s="50" t="str">
        <x:v>Ranking có tên rất dài</x:v>
      </x:c>
      <x:c r="D41" s="50" t="str">
        <x:v>Thực hiện trên môi trường test/staging với dữ liệu an toàn.</x:v>
      </x:c>
      <x:c r="E41" s="50" t="str">
        <x:v>1. Mock tên ngành nghề dài.
2. Mở ở desktop/tablet.</x:v>
      </x:c>
      <x:c r="F41" s="50" t="str">
        <x:v>Text wrap/truncate hợp lý; số liệu vẫn đọc được.</x:v>
      </x:c>
      <x:c r="G41" s="50" t="str">
        <x:v>Low</x:v>
      </x:c>
      <x:c r="H41" s="50" t="str">
        <x:v>P3</x:v>
      </x:c>
      <x:c r="I41" s="50" t="str">
        <x:v>Boundary</x:v>
      </x:c>
      <x:c r="J41" s="50" t="str">
        <x:v>Need API/Database</x:v>
      </x:c>
      <x:c r="K41" s="50" t="str"/>
      <x:c r="L41" s="50" t="str">
        <x:v>Not Run</x:v>
      </x:c>
      <x:c r="M41" s="50" t="str"/>
      <x:c r="N41" s="50" t="str"/>
    </x:row>
    <x:row r="42" ht="72" customHeight="1">
      <x:c r="A42" s="50" t="str">
        <x:v>INS-038</x:v>
      </x:c>
      <x:c r="B42" s="50" t="str">
        <x:v>Industry Statistics</x:v>
      </x:c>
      <x:c r="C42" s="50" t="str">
        <x:v>Ranking cập nhật khi đổi kỳ</x:v>
      </x:c>
      <x:c r="D42" s="50" t="str">
        <x:v>Có tài khoản hợp lệ; đã đăng nhập CMS; nhóm Vua Thợ được phép truy cập. Đang ở trang Dashboard.</x:v>
      </x:c>
      <x:c r="E42" s="50" t="str">
        <x:v>1. Ghi nhận danh sách hiện tại.
2. Đổi kỳ.
3. Chờ cập nhật.</x:v>
      </x:c>
      <x:c r="F42" s="50" t="str">
        <x:v>Rank, số và thị phần cập nhật đồng bộ; không giữ item cũ.</x:v>
      </x:c>
      <x:c r="G42" s="50" t="str">
        <x:v>High</x:v>
      </x:c>
      <x:c r="H42" s="50" t="str">
        <x:v>P1</x:v>
      </x:c>
      <x:c r="I42" s="50" t="str">
        <x:v>Data Integrity</x:v>
      </x:c>
      <x:c r="J42" s="50" t="str">
        <x:v>Automate</x:v>
      </x:c>
      <x:c r="K42" s="50" t="str"/>
      <x:c r="L42" s="50" t="str">
        <x:v>Not Run</x:v>
      </x:c>
      <x:c r="M42" s="50" t="str"/>
      <x:c r="N42" s="50" t="str"/>
    </x:row>
    <x:row r="43" ht="72" customHeight="1">
      <x:c r="A43" s="50" t="str">
        <x:v>INS-039</x:v>
      </x:c>
      <x:c r="B43" s="50" t="str">
        <x:v>Industry Statistics</x:v>
      </x:c>
      <x:c r="C43" s="50" t="str">
        <x:v>Ranking với tổng đăng ký rất lớn</x:v>
      </x:c>
      <x:c r="D43" s="50" t="str">
        <x:v>Thực hiện trên môi trường test/staging với dữ liệu an toàn.</x:v>
      </x:c>
      <x:c r="E43" s="50" t="str">
        <x:v>1. Mock số lớn và nhiều item.
2. Mở section.</x:v>
      </x:c>
      <x:c r="F43" s="50" t="str">
        <x:v>Hiển thị/scroll tốt; phép tính thị phần không overflow.</x:v>
      </x:c>
      <x:c r="G43" s="50" t="str">
        <x:v>Low</x:v>
      </x:c>
      <x:c r="H43" s="50" t="str">
        <x:v>P3</x:v>
      </x:c>
      <x:c r="I43" s="50" t="str">
        <x:v>Boundary</x:v>
      </x:c>
      <x:c r="J43" s="50" t="str">
        <x:v>Need API/Database</x:v>
      </x:c>
      <x:c r="K43" s="50" t="str"/>
      <x:c r="L43" s="50" t="str">
        <x:v>Not Run</x:v>
      </x:c>
      <x:c r="M43" s="50" t="str"/>
      <x:c r="N43" s="50" t="str"/>
    </x:row>
    <x:row r="44" ht="72" customHeight="1">
      <x:c r="A44" s="50" t="str">
        <x:v>INS-040</x:v>
      </x:c>
      <x:c r="B44" s="50" t="str">
        <x:v>Industry Statistics</x:v>
      </x:c>
      <x:c r="C44" s="50" t="str">
        <x:v>Switch Biểu đồ tắt mặc định</x:v>
      </x:c>
      <x:c r="D44" s="50" t="str">
        <x:v>Có tài khoản hợp lệ; đã đăng nhập CMS; nhóm Vua Thợ được phép truy cập. Đang ở trang Dashboard.</x:v>
      </x:c>
      <x:c r="E44" s="50" t="str">
        <x:v>1. Tìm switch gần text “Biểu đồ”.
2. Đọc isSelected và thông báo.</x:v>
      </x:c>
      <x:c r="F44" s="50" t="str">
        <x:v>Switch tắt; thông báo “Biểu đồ đã được ẩn để tối ưu hiệu năng” hiển thị.</x:v>
      </x:c>
      <x:c r="G44" s="50" t="str">
        <x:v>Medium</x:v>
      </x:c>
      <x:c r="H44" s="50" t="str">
        <x:v>P2</x:v>
      </x:c>
      <x:c r="I44" s="50" t="str">
        <x:v>UI</x:v>
      </x:c>
      <x:c r="J44" s="50" t="str">
        <x:v>Automate</x:v>
      </x:c>
      <x:c r="K44" s="50" t="str"/>
      <x:c r="L44" s="50" t="str">
        <x:v>Not Run</x:v>
      </x:c>
      <x:c r="M44" s="50" t="str"/>
      <x:c r="N44" s="50" t="str"/>
    </x:row>
    <x:row r="45" ht="72" customHeight="1">
      <x:c r="A45" s="50" t="str">
        <x:v>INS-041</x:v>
      </x:c>
      <x:c r="B45" s="50" t="str">
        <x:v>Industry Statistics</x:v>
      </x:c>
      <x:c r="C45" s="50" t="str">
        <x:v>Bật switch hiển thị biểu đồ ngành nghề</x:v>
      </x:c>
      <x:c r="D45" s="50" t="str">
        <x:v>Có tài khoản hợp lệ; đã đăng nhập CMS; nhóm Vua Thợ được phép truy cập. Đang ở trang Dashboard.</x:v>
      </x:c>
      <x:c r="E45" s="50" t="str">
        <x:v>1. Bật switch Biểu đồ.
2. Chờ chart render.</x:v>
      </x:c>
      <x:c r="F45" s="50" t="str">
        <x:v>Biểu đồ xuất hiện; thông báo ẩn; SVG có kích thước &gt; 0.</x:v>
      </x:c>
      <x:c r="G45" s="50" t="str">
        <x:v>High</x:v>
      </x:c>
      <x:c r="H45" s="50" t="str">
        <x:v>P1</x:v>
      </x:c>
      <x:c r="I45" s="50" t="str">
        <x:v>Functional</x:v>
      </x:c>
      <x:c r="J45" s="50" t="str">
        <x:v>Need more DOM</x:v>
      </x:c>
      <x:c r="K45" s="50" t="str"/>
      <x:c r="L45" s="50" t="str">
        <x:v>Not Run</x:v>
      </x:c>
      <x:c r="M45" s="50" t="str"/>
      <x:c r="N45" s="50" t="str"/>
    </x:row>
    <x:row r="46" ht="72" customHeight="1">
      <x:c r="A46" s="50" t="str">
        <x:v>INS-042</x:v>
      </x:c>
      <x:c r="B46" s="50" t="str">
        <x:v>Industry Statistics</x:v>
      </x:c>
      <x:c r="C46" s="50" t="str">
        <x:v>Tắt lại biểu đồ ngành nghề</x:v>
      </x:c>
      <x:c r="D46" s="50" t="str">
        <x:v>Có tài khoản hợp lệ; đã đăng nhập CMS; nhóm Vua Thợ được phép truy cập. Đang ở trang Dashboard.</x:v>
      </x:c>
      <x:c r="E46" s="50" t="str">
        <x:v>1. Bật rồi tắt switch.
2. Kiểm tra DOM và thông báo.</x:v>
      </x:c>
      <x:c r="F46" s="50" t="str">
        <x:v>Biểu đồ bị ẩn/remove; thông báo tối ưu hiệu năng xuất hiện lại.</x:v>
      </x:c>
      <x:c r="G46" s="50" t="str">
        <x:v>Medium</x:v>
      </x:c>
      <x:c r="H46" s="50" t="str">
        <x:v>P2</x:v>
      </x:c>
      <x:c r="I46" s="50" t="str">
        <x:v>Functional</x:v>
      </x:c>
      <x:c r="J46" s="50" t="str">
        <x:v>Need more DOM</x:v>
      </x:c>
      <x:c r="K46" s="50" t="str"/>
      <x:c r="L46" s="50" t="str">
        <x:v>Not Run</x:v>
      </x:c>
      <x:c r="M46" s="50" t="str"/>
      <x:c r="N46" s="50" t="str"/>
    </x:row>
    <x:row r="47" ht="72" customHeight="1">
      <x:c r="A47" s="50" t="str">
        <x:v>INS-043</x:v>
      </x:c>
      <x:c r="B47" s="50" t="str">
        <x:v>Industry Statistics</x:v>
      </x:c>
      <x:c r="C47" s="50" t="str">
        <x:v>Bật/tắt nhiều lần không tạo biểu đồ trùng</x:v>
      </x:c>
      <x:c r="D47" s="50" t="str">
        <x:v>Có tài khoản hợp lệ; đã đăng nhập CMS; nhóm Vua Thợ được phép truy cập. Đang ở trang Dashboard.</x:v>
      </x:c>
      <x:c r="E47" s="50" t="str">
        <x:v>1. Toggle switch 5 lần.
2. Đếm chart visible.</x:v>
      </x:c>
      <x:c r="F47" s="50" t="str">
        <x:v>Tối đa một biểu đồ visible; không rò rỉ component.</x:v>
      </x:c>
      <x:c r="G47" s="50" t="str">
        <x:v>High</x:v>
      </x:c>
      <x:c r="H47" s="50" t="str">
        <x:v>P1</x:v>
      </x:c>
      <x:c r="I47" s="50" t="str">
        <x:v>Recovery</x:v>
      </x:c>
      <x:c r="J47" s="50" t="str">
        <x:v>Need more DOM</x:v>
      </x:c>
      <x:c r="K47" s="50" t="str"/>
      <x:c r="L47" s="50" t="str">
        <x:v>Not Run</x:v>
      </x:c>
      <x:c r="M47" s="50" t="str"/>
      <x:c r="N47" s="50" t="str"/>
    </x:row>
    <x:row r="48" ht="72" customHeight="1">
      <x:c r="A48" s="50" t="str">
        <x:v>INS-044</x:v>
      </x:c>
      <x:c r="B48" s="50" t="str">
        <x:v>Industry Statistics</x:v>
      </x:c>
      <x:c r="C48" s="50" t="str">
        <x:v>Biểu đồ ngành nghề cập nhật theo kỳ</x:v>
      </x:c>
      <x:c r="D48" s="50" t="str">
        <x:v>Có tài khoản hợp lệ; đã đăng nhập CMS; nhóm Vua Thợ được phép truy cập. Đang ở trang Dashboard.</x:v>
      </x:c>
      <x:c r="E48" s="50" t="str">
        <x:v>1. Bật biểu đồ.
2. Đổi kỳ.
3. Kiểm tra trục/dữ liệu.</x:v>
      </x:c>
      <x:c r="F48" s="50" t="str">
        <x:v>Chart cập nhật đúng kỳ và không giữ dữ liệu cũ.</x:v>
      </x:c>
      <x:c r="G48" s="50" t="str">
        <x:v>High</x:v>
      </x:c>
      <x:c r="H48" s="50" t="str">
        <x:v>P1</x:v>
      </x:c>
      <x:c r="I48" s="50" t="str">
        <x:v>Data Integrity</x:v>
      </x:c>
      <x:c r="J48" s="50" t="str">
        <x:v>Need more DOM</x:v>
      </x:c>
      <x:c r="K48" s="50" t="str"/>
      <x:c r="L48" s="50" t="str">
        <x:v>Not Run</x:v>
      </x:c>
      <x:c r="M48" s="50" t="str"/>
      <x:c r="N48" s="50" t="str"/>
    </x:row>
    <x:row r="49" ht="72" customHeight="1">
      <x:c r="A49" s="50" t="str">
        <x:v>INS-045</x:v>
      </x:c>
      <x:c r="B49" s="50" t="str">
        <x:v>Industry Statistics</x:v>
      </x:c>
      <x:c r="C49" s="50" t="str">
        <x:v>Biểu đồ ngành nghề cập nhật theo custom date</x:v>
      </x:c>
      <x:c r="D49" s="50" t="str">
        <x:v>Có tài khoản hợp lệ; đã đăng nhập CMS; nhóm Vua Thợ được phép truy cập. Đang ở trang Dashboard.</x:v>
      </x:c>
      <x:c r="E49" s="50" t="str">
        <x:v>1. Bật chart và custom date.
2. Áp dụng khoảng.
3. Kiểm tra chart.</x:v>
      </x:c>
      <x:c r="F49" s="50" t="str">
        <x:v>Chart hiển thị đúng khoảng custom.</x:v>
      </x:c>
      <x:c r="G49" s="50" t="str">
        <x:v>High</x:v>
      </x:c>
      <x:c r="H49" s="50" t="str">
        <x:v>P1</x:v>
      </x:c>
      <x:c r="I49" s="50" t="str">
        <x:v>Data Integrity</x:v>
      </x:c>
      <x:c r="J49" s="50" t="str">
        <x:v>Need more DOM</x:v>
      </x:c>
      <x:c r="K49" s="50" t="str"/>
      <x:c r="L49" s="50" t="str">
        <x:v>Not Run</x:v>
      </x:c>
      <x:c r="M49" s="50" t="str"/>
      <x:c r="N49" s="50" t="str"/>
    </x:row>
    <x:row r="50" ht="72" customHeight="1">
      <x:c r="A50" s="50" t="str">
        <x:v>INS-046</x:v>
      </x:c>
      <x:c r="B50" s="50" t="str">
        <x:v>Industry Statistics</x:v>
      </x:c>
      <x:c r="C50" s="50" t="str">
        <x:v>Switch Biểu đồ độc lập với hai switch Tùy chỉnh</x:v>
      </x:c>
      <x:c r="D50" s="50" t="str">
        <x:v>Có tài khoản hợp lệ; đã đăng nhập CMS; nhóm Vua Thợ được phép truy cập. Đang ở trang Dashboard.</x:v>
      </x:c>
      <x:c r="E50" s="50" t="str">
        <x:v>1. Bật/tắt switch Biểu đồ.
2. Kiểm tra switch custom của người dùng và ngành nghề.</x:v>
      </x:c>
      <x:c r="F50" s="50" t="str">
        <x:v>Hai switch custom không thay đổi.</x:v>
      </x:c>
      <x:c r="G50" s="50" t="str">
        <x:v>High</x:v>
      </x:c>
      <x:c r="H50" s="50" t="str">
        <x:v>P1</x:v>
      </x:c>
      <x:c r="I50" s="50" t="str">
        <x:v>Data Integrity</x:v>
      </x:c>
      <x:c r="J50" s="50" t="str">
        <x:v>Automate</x:v>
      </x:c>
      <x:c r="K50" s="50" t="str"/>
      <x:c r="L50" s="50" t="str">
        <x:v>Not Run</x:v>
      </x:c>
      <x:c r="M50" s="50" t="str"/>
      <x:c r="N50" s="50" t="str"/>
    </x:row>
    <x:row r="51" ht="72" customHeight="1">
      <x:c r="A51" s="50" t="str">
        <x:v>INS-047</x:v>
      </x:c>
      <x:c r="B51" s="50" t="str">
        <x:v>Industry Statistics</x:v>
      </x:c>
      <x:c r="C51" s="50" t="str">
        <x:v>Tooltip và trục của biểu đồ ngành nghề</x:v>
      </x:c>
      <x:c r="D51" s="50" t="str">
        <x:v>Có tài khoản hợp lệ; đã đăng nhập CMS; nhóm Vua Thợ được phép truy cập. Đang ở trang Dashboard.</x:v>
      </x:c>
      <x:c r="E51" s="50" t="str">
        <x:v>1. Bật biểu đồ.
2. Kiểm tra trục ngày/số.
3. Hover điểm dữ liệu.</x:v>
      </x:c>
      <x:c r="F51" s="50" t="str">
        <x:v>Trục hợp lệ; tooltip đúng ngành/ngày/giá trị.</x:v>
      </x:c>
      <x:c r="G51" s="50" t="str">
        <x:v>Medium</x:v>
      </x:c>
      <x:c r="H51" s="50" t="str">
        <x:v>P2</x:v>
      </x:c>
      <x:c r="I51" s="50" t="str">
        <x:v>Functional</x:v>
      </x:c>
      <x:c r="J51" s="50" t="str">
        <x:v>Need more DOM</x:v>
      </x:c>
      <x:c r="K51" s="50" t="str"/>
      <x:c r="L51" s="50" t="str">
        <x:v>Not Run</x:v>
      </x:c>
      <x:c r="M51" s="50" t="str"/>
      <x:c r="N51" s="50" t="str"/>
    </x:row>
    <x:row r="52" ht="72" customHeight="1">
      <x:c r="A52" s="50" t="str">
        <x:v>INS-048</x:v>
      </x:c>
      <x:c r="B52" s="50" t="str">
        <x:v>Industry Statistics</x:v>
      </x:c>
      <x:c r="C52" s="50" t="str">
        <x:v>Biểu đồ ngành nghề không có dữ liệu</x:v>
      </x:c>
      <x:c r="D52" s="50" t="str">
        <x:v>Thực hiện trên môi trường test/staging với dữ liệu an toàn.</x:v>
      </x:c>
      <x:c r="E52" s="50" t="str">
        <x:v>1. Mock empty data.
2. Bật chart.</x:v>
      </x:c>
      <x:c r="F52" s="50" t="str">
        <x:v>Hiển thị empty state; không crash/NaN.</x:v>
      </x:c>
      <x:c r="G52" s="50" t="str">
        <x:v>Medium</x:v>
      </x:c>
      <x:c r="H52" s="50" t="str">
        <x:v>P2</x:v>
      </x:c>
      <x:c r="I52" s="50" t="str">
        <x:v>Boundary</x:v>
      </x:c>
      <x:c r="J52" s="50" t="str">
        <x:v>Need API/Database</x:v>
      </x:c>
      <x:c r="K52" s="50" t="str"/>
      <x:c r="L52" s="50" t="str">
        <x:v>Not Run</x:v>
      </x:c>
      <x:c r="M52" s="50" t="str"/>
      <x:c r="N52" s="50" t="str"/>
    </x:row>
  </x:sheetData>
  <x:mergeCells>
    <x:mergeCell ref="A1:N1"/>
    <x:mergeCell ref="A2:N2"/>
  </x:mergeCells>
  <x:conditionalFormatting sqref="L5:L52">
    <x:cfRule type="expression" dxfId="54" priority="1">
      <x:formula>L5="Pass"</x:formula>
    </x:cfRule>
    <x:cfRule type="expression" dxfId="55" priority="2">
      <x:formula>L5="Fail"</x:formula>
    </x:cfRule>
    <x:cfRule type="expression" dxfId="56" priority="3">
      <x:formula>L5="Blocked"</x:formula>
    </x:cfRule>
    <x:cfRule type="expression" dxfId="57" priority="4">
      <x:formula>L5="Skipped"</x:formula>
    </x:cfRule>
    <x:cfRule type="expression" dxfId="58" priority="5">
      <x:formula>L5="Not Run"</x:formula>
    </x:cfRule>
  </x:conditionalFormatting>
  <x:conditionalFormatting sqref="G5:G52">
    <x:cfRule type="expression" dxfId="59" priority="6">
      <x:formula>G5="Critical"</x:formula>
    </x:cfRule>
    <x:cfRule type="expression" dxfId="60" priority="7">
      <x:formula>G5="High"</x:formula>
    </x:cfRule>
    <x:cfRule type="expression" dxfId="61" priority="8">
      <x:formula>G5="Medium"</x:formula>
    </x:cfRule>
    <x:cfRule type="expression" dxfId="62" priority="9">
      <x:formula>G5="Low"</x:formula>
    </x:cfRule>
  </x:conditionalFormatting>
  <x:dataValidations count="5">
    <x:dataValidation type="list" sqref="G5:G52">
      <x:formula1>"Critical,High,Medium,Low"</x:formula1>
    </x:dataValidation>
    <x:dataValidation type="list" sqref="H5:H52">
      <x:formula1>"P0,P1,P2,P3"</x:formula1>
    </x:dataValidation>
    <x:dataValidation type="list" sqref="I5:I52">
      <x:formula1>"Functional,UI,Navigation,Validation,Negative,Boundary,Data Integrity,Download,Session,Permission,Responsive,Accessibility,Recovery,Security"</x:formula1>
    </x:dataValidation>
    <x:dataValidation type="list" sqref="J5:J52">
      <x:formula1>"Automate,Need more DOM,Need API/Database,Need business requirement,Need API/Network simulation,Manual"</x:formula1>
    </x:dataValidation>
    <x:dataValidation type="list" sqref="L5:L52">
      <x:formula1>"Not Run,Pass,Fail,Blocked,Skipped"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7fc42559f04b7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42" hidden="0" customWidth="1"/>
    <x:col min="4" max="4" width="38" hidden="0" customWidth="1"/>
    <x:col min="5" max="5" width="55" hidden="0" customWidth="1"/>
    <x:col min="6" max="6" width="55" hidden="0" customWidth="1"/>
    <x:col min="7" max="7" width="11" hidden="0" customWidth="1"/>
    <x:col min="8" max="8" width="9" hidden="0" customWidth="1"/>
    <x:col min="9" max="9" width="18" hidden="0" customWidth="1"/>
    <x:col min="10" max="10" width="24" hidden="0" customWidth="1"/>
    <x:col min="11" max="11" width="38" hidden="0" customWidth="1"/>
    <x:col min="12" max="12" width="12" hidden="0" customWidth="1"/>
    <x:col min="13" max="13" width="16" hidden="0" customWidth="1"/>
    <x:col min="14" max="14" width="36" hidden="0" customWidth="1"/>
  </x:cols>
  <x:sheetData>
    <x:row r="1" ht="30" customHeight="1">
      <x:c r="A1" s="5" t="str">
        <x:v>COMMON UI, ACCESSIBILITY &amp; RECOVERY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3" t="str">
        <x:v>20 testcase thuộc module Common UI, Accessibility &amp; Recovery.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2" customHeight="1">
      <x:c r="A4" s="45" t="str">
        <x:v>Test Case ID</x:v>
      </x:c>
      <x:c r="B4" s="45" t="str">
        <x:v>Module</x:v>
      </x:c>
      <x:c r="C4" s="45" t="str">
        <x:v>Test Scenario</x:v>
      </x:c>
      <x:c r="D4" s="45" t="str">
        <x:v>Precondition</x:v>
      </x:c>
      <x:c r="E4" s="45" t="str">
        <x:v>Test Steps</x:v>
      </x:c>
      <x:c r="F4" s="45" t="str">
        <x:v>Expected Result</x:v>
      </x:c>
      <x:c r="G4" s="45" t="str">
        <x:v>Severity</x:v>
      </x:c>
      <x:c r="H4" s="45" t="str">
        <x:v>Priority</x:v>
      </x:c>
      <x:c r="I4" s="45" t="str">
        <x:v>Test Type</x:v>
      </x:c>
      <x:c r="J4" s="45" t="str">
        <x:v>Automation Feasibility</x:v>
      </x:c>
      <x:c r="K4" s="45" t="str">
        <x:v>Actual Result</x:v>
      </x:c>
      <x:c r="L4" s="45" t="str">
        <x:v>Status</x:v>
      </x:c>
      <x:c r="M4" s="45" t="str">
        <x:v>Tester</x:v>
      </x:c>
      <x:c r="N4" s="45" t="str">
        <x:v>Notes / DOM Evidence</x:v>
      </x:c>
    </x:row>
    <x:row r="5" ht="72" customHeight="1">
      <x:c r="A5" s="50" t="str">
        <x:v>CAR-001</x:v>
      </x:c>
      <x:c r="B5" s="50" t="str">
        <x:v>Common UI, Accessibility &amp; Recovery</x:v>
      </x:c>
      <x:c r="C5" s="50" t="str">
        <x:v>Các control chính có accessible name</x:v>
      </x:c>
      <x:c r="D5" s="50" t="str">
        <x:v>Có tài khoản hợp lệ; đã đăng nhập CMS; nhóm Vua Thợ được phép truy cập. Đang ở trang Dashboard.</x:v>
      </x:c>
      <x:c r="E5" s="50" t="str">
        <x:v>1. Kiểm tra button/link/input chính bằng accessibility tree.
2. Xác định accessible name.</x:v>
      </x:c>
      <x:c r="F5" s="50" t="str">
        <x:v>Control có tên đọc được; switch không chỉ dựa vào ID động.</x:v>
      </x:c>
      <x:c r="G5" s="50" t="str">
        <x:v>Medium</x:v>
      </x:c>
      <x:c r="H5" s="50" t="str">
        <x:v>P2</x:v>
      </x:c>
      <x:c r="I5" s="50" t="str">
        <x:v>Accessibility</x:v>
      </x:c>
      <x:c r="J5" s="50" t="str">
        <x:v>Automate</x:v>
      </x:c>
      <x:c r="K5" s="50" t="str"/>
      <x:c r="L5" s="50" t="str">
        <x:v>Not Run</x:v>
      </x:c>
      <x:c r="M5" s="50" t="str"/>
      <x:c r="N5" s="50" t="str"/>
    </x:row>
    <x:row r="6" ht="72" customHeight="1">
      <x:c r="A6" s="50" t="str">
        <x:v>CAR-002</x:v>
      </x:c>
      <x:c r="B6" s="50" t="str">
        <x:v>Common UI, Accessibility &amp; Recovery</x:v>
      </x:c>
      <x:c r="C6" s="50" t="str">
        <x:v>Thứ tự Tab hợp lý</x:v>
      </x:c>
      <x:c r="D6" s="50" t="str">
        <x:v>Có tài khoản hợp lệ; đã đăng nhập CMS; nhóm Vua Thợ được phép truy cập. Đang ở trang Dashboard.</x:v>
      </x:c>
      <x:c r="E6" s="50" t="str">
        <x:v>1. Dùng Tab từ đầu trang đến cuối.
2. Ghi nhận thứ tự focus.</x:v>
      </x:c>
      <x:c r="F6" s="50" t="str">
        <x:v>Focus đi theo thứ tự trực quan; không nhảy vào phần tử ẩn/trùng.</x:v>
      </x:c>
      <x:c r="G6" s="50" t="str">
        <x:v>Medium</x:v>
      </x:c>
      <x:c r="H6" s="50" t="str">
        <x:v>P2</x:v>
      </x:c>
      <x:c r="I6" s="50" t="str">
        <x:v>Accessibility</x:v>
      </x:c>
      <x:c r="J6" s="50" t="str">
        <x:v>Automate</x:v>
      </x:c>
      <x:c r="K6" s="50" t="str"/>
      <x:c r="L6" s="50" t="str">
        <x:v>Not Run</x:v>
      </x:c>
      <x:c r="M6" s="50" t="str"/>
      <x:c r="N6" s="50" t="str"/>
    </x:row>
    <x:row r="7" ht="72" customHeight="1">
      <x:c r="A7" s="50" t="str">
        <x:v>CAR-003</x:v>
      </x:c>
      <x:c r="B7" s="50" t="str">
        <x:v>Common UI, Accessibility &amp; Recovery</x:v>
      </x:c>
      <x:c r="C7" s="50" t="str">
        <x:v>Focus indicator hiển thị</x:v>
      </x:c>
      <x:c r="D7" s="50" t="str">
        <x:v>Có tài khoản hợp lệ; đã đăng nhập CMS; nhóm Vua Thợ được phép truy cập. Đang ở trang Dashboard.</x:v>
      </x:c>
      <x:c r="E7" s="50" t="str">
        <x:v>1. Tab qua menu, card, period, switch, export.
2. Quan sát focus ring.</x:v>
      </x:c>
      <x:c r="F7" s="50" t="str">
        <x:v>Mọi control tương tác có focus rõ.</x:v>
      </x:c>
      <x:c r="G7" s="50" t="str">
        <x:v>Medium</x:v>
      </x:c>
      <x:c r="H7" s="50" t="str">
        <x:v>P2</x:v>
      </x:c>
      <x:c r="I7" s="50" t="str">
        <x:v>Accessibility</x:v>
      </x:c>
      <x:c r="J7" s="50" t="str">
        <x:v>Automate</x:v>
      </x:c>
      <x:c r="K7" s="50" t="str"/>
      <x:c r="L7" s="50" t="str">
        <x:v>Not Run</x:v>
      </x:c>
      <x:c r="M7" s="50" t="str"/>
      <x:c r="N7" s="50" t="str"/>
    </x:row>
    <x:row r="8" ht="72" customHeight="1">
      <x:c r="A8" s="50" t="str">
        <x:v>CAR-004</x:v>
      </x:c>
      <x:c r="B8" s="50" t="str">
        <x:v>Common UI, Accessibility &amp; Recovery</x:v>
      </x:c>
      <x:c r="C8" s="50" t="str">
        <x:v>Không dùng ID động làm locator</x:v>
      </x:c>
      <x:c r="D8" s="50" t="str">
        <x:v>Có tài khoản hợp lệ; đã đăng nhập CMS; nhóm Vua Thợ được phép truy cập. Đang ở trang Dashboard.</x:v>
      </x:c>
      <x:c r="E8" s="50" t="str">
        <x:v>1. Rà locator automation.
2. Tìm fdprocessedid, :r*, react-aria, recharts ID.</x:v>
      </x:c>
      <x:c r="F8" s="50" t="str">
        <x:v>Không có locator phụ thuộc ID động; ưu tiên href/aria/title/text/data-testid.</x:v>
      </x:c>
      <x:c r="G8" s="50" t="str">
        <x:v>High</x:v>
      </x:c>
      <x:c r="H8" s="50" t="str">
        <x:v>P1</x:v>
      </x:c>
      <x:c r="I8" s="50" t="str">
        <x:v>Validation</x:v>
      </x:c>
      <x:c r="J8" s="50" t="str">
        <x:v>Automate</x:v>
      </x:c>
      <x:c r="K8" s="50" t="str"/>
      <x:c r="L8" s="50" t="str">
        <x:v>Not Run</x:v>
      </x:c>
      <x:c r="M8" s="50" t="str"/>
      <x:c r="N8" s="50" t="str"/>
    </x:row>
    <x:row r="9" ht="72" customHeight="1">
      <x:c r="A9" s="50" t="str">
        <x:v>CAR-005</x:v>
      </x:c>
      <x:c r="B9" s="50" t="str">
        <x:v>Common UI, Accessibility &amp; Recovery</x:v>
      </x:c>
      <x:c r="C9" s="50" t="str">
        <x:v>Không dùng full XPath hoặc class Tailwind dài</x:v>
      </x:c>
      <x:c r="D9" s="50" t="str">
        <x:v>Có tài khoản hợp lệ; đã đăng nhập CMS; nhóm Vua Thợ được phép truy cập. Đang ở trang Dashboard.</x:v>
      </x:c>
      <x:c r="E9" s="50" t="str">
        <x:v>1. Rà source automation.
2. Kiểm tra locator.</x:v>
      </x:c>
      <x:c r="F9" s="50" t="str">
        <x:v>Locator ổn định, scope theo component; không full XPath/class dài.</x:v>
      </x:c>
      <x:c r="G9" s="50" t="str">
        <x:v>High</x:v>
      </x:c>
      <x:c r="H9" s="50" t="str">
        <x:v>P1</x:v>
      </x:c>
      <x:c r="I9" s="50" t="str">
        <x:v>Validation</x:v>
      </x:c>
      <x:c r="J9" s="50" t="str">
        <x:v>Automate</x:v>
      </x:c>
      <x:c r="K9" s="50" t="str"/>
      <x:c r="L9" s="50" t="str">
        <x:v>Not Run</x:v>
      </x:c>
      <x:c r="M9" s="50" t="str"/>
      <x:c r="N9" s="50" t="str"/>
    </x:row>
    <x:row r="10" ht="72" customHeight="1">
      <x:c r="A10" s="50" t="str">
        <x:v>CAR-006</x:v>
      </x:c>
      <x:c r="B10" s="50" t="str">
        <x:v>Common UI, Accessibility &amp; Recovery</x:v>
      </x:c>
      <x:c r="C10" s="50" t="str">
        <x:v>Xử lý StaleElement khi component re-render</x:v>
      </x:c>
      <x:c r="D10" s="50" t="str">
        <x:v>Có tài khoản hợp lệ; đã đăng nhập CMS; nhóm Vua Thợ được phép truy cập. Đang ở trang Dashboard.</x:v>
      </x:c>
      <x:c r="E10" s="50" t="str">
        <x:v>1. Lấy element kỳ/card.
2. Thao tác làm re-render.
3. Thực hiện thao tác tiếp theo.</x:v>
      </x:c>
      <x:c r="F10" s="50" t="str">
        <x:v>Automation tìm lại element bằng locator; không retry mù hoặc nuốt lỗi.</x:v>
      </x:c>
      <x:c r="G10" s="50" t="str">
        <x:v>High</x:v>
      </x:c>
      <x:c r="H10" s="50" t="str">
        <x:v>P1</x:v>
      </x:c>
      <x:c r="I10" s="50" t="str">
        <x:v>Recovery</x:v>
      </x:c>
      <x:c r="J10" s="50" t="str">
        <x:v>Automate</x:v>
      </x:c>
      <x:c r="K10" s="50" t="str"/>
      <x:c r="L10" s="50" t="str">
        <x:v>Not Run</x:v>
      </x:c>
      <x:c r="M10" s="50" t="str"/>
      <x:c r="N10" s="50" t="str"/>
    </x:row>
    <x:row r="11" ht="72" customHeight="1">
      <x:c r="A11" s="50" t="str">
        <x:v>CAR-007</x:v>
      </x:c>
      <x:c r="B11" s="50" t="str">
        <x:v>Common UI, Accessibility &amp; Recovery</x:v>
      </x:c>
      <x:c r="C11" s="50" t="str">
        <x:v>Không dùng Thread.sleep trong flow Dashboard</x:v>
      </x:c>
      <x:c r="D11" s="50" t="str">
        <x:v>Có source automation.</x:v>
      </x:c>
      <x:c r="E11" s="50" t="str">
        <x:v>1. Quét source test/page object.
2. Tìm Thread.sleep.</x:v>
      </x:c>
      <x:c r="F11" s="50" t="str">
        <x:v>Không có Thread.sleep; dùng WebDriverWait/ExpectedConditions.</x:v>
      </x:c>
      <x:c r="G11" s="50" t="str">
        <x:v>High</x:v>
      </x:c>
      <x:c r="H11" s="50" t="str">
        <x:v>P1</x:v>
      </x:c>
      <x:c r="I11" s="50" t="str">
        <x:v>Validation</x:v>
      </x:c>
      <x:c r="J11" s="50" t="str">
        <x:v>Automate</x:v>
      </x:c>
      <x:c r="K11" s="50" t="str"/>
      <x:c r="L11" s="50" t="str">
        <x:v>Not Run</x:v>
      </x:c>
      <x:c r="M11" s="50" t="str"/>
      <x:c r="N11" s="50" t="str"/>
    </x:row>
    <x:row r="12" ht="72" customHeight="1">
      <x:c r="A12" s="50" t="str">
        <x:v>CAR-008</x:v>
      </x:c>
      <x:c r="B12" s="50" t="str">
        <x:v>Common UI, Accessibility &amp; Recovery</x:v>
      </x:c>
      <x:c r="C12" s="50" t="str">
        <x:v>Một testcase fail không dừng các testcase độc lập</x:v>
      </x:c>
      <x:c r="D12" s="50" t="str">
        <x:v>Có TestNG suite Dashboard.</x:v>
      </x:c>
      <x:c r="E12" s="50" t="str">
        <x:v>1. Cố ý làm fail một case độc lập.
2. Chạy suite.</x:v>
      </x:c>
      <x:c r="F12" s="50" t="str">
        <x:v>Các case phía sau vẫn chạy; browser chỉ đóng đúng lifecycle.</x:v>
      </x:c>
      <x:c r="G12" s="50" t="str">
        <x:v>Critical</x:v>
      </x:c>
      <x:c r="H12" s="50" t="str">
        <x:v>P0</x:v>
      </x:c>
      <x:c r="I12" s="50" t="str">
        <x:v>Recovery</x:v>
      </x:c>
      <x:c r="J12" s="50" t="str">
        <x:v>Automate</x:v>
      </x:c>
      <x:c r="K12" s="50" t="str"/>
      <x:c r="L12" s="50" t="str">
        <x:v>Not Run</x:v>
      </x:c>
      <x:c r="M12" s="50" t="str"/>
      <x:c r="N12" s="50" t="str"/>
    </x:row>
    <x:row r="13" ht="72" customHeight="1">
      <x:c r="A13" s="50" t="str">
        <x:v>CAR-009</x:v>
      </x:c>
      <x:c r="B13" s="50" t="str">
        <x:v>Common UI, Accessibility &amp; Recovery</x:v>
      </x:c>
      <x:c r="C13" s="50" t="str">
        <x:v>Browser chỉ đóng sau khi suite hoàn tất</x:v>
      </x:c>
      <x:c r="D13" s="50" t="str">
        <x:v>Có TestNG suite Dashboard.</x:v>
      </x:c>
      <x:c r="E13" s="50" t="str">
        <x:v>1. Chạy toàn bộ suite.
2. Theo dõi số test thực thi và thời điểm quit.</x:v>
      </x:c>
      <x:c r="F13" s="50" t="str">
        <x:v>Tất cả case dự kiến được chạy trước driver.quit().</x:v>
      </x:c>
      <x:c r="G13" s="50" t="str">
        <x:v>Critical</x:v>
      </x:c>
      <x:c r="H13" s="50" t="str">
        <x:v>P0</x:v>
      </x:c>
      <x:c r="I13" s="50" t="str">
        <x:v>Session</x:v>
      </x:c>
      <x:c r="J13" s="50" t="str">
        <x:v>Automate</x:v>
      </x:c>
      <x:c r="K13" s="50" t="str"/>
      <x:c r="L13" s="50" t="str">
        <x:v>Not Run</x:v>
      </x:c>
      <x:c r="M13" s="50" t="str"/>
      <x:c r="N13" s="50" t="str"/>
    </x:row>
    <x:row r="14" ht="72" customHeight="1">
      <x:c r="A14" s="50" t="str">
        <x:v>CAR-010</x:v>
      </x:c>
      <x:c r="B14" s="50" t="str">
        <x:v>Common UI, Accessibility &amp; Recovery</x:v>
      </x:c>
      <x:c r="C14" s="50" t="str">
        <x:v>Không refresh giữa các testcase ngoài yêu cầu</x:v>
      </x:c>
      <x:c r="D14" s="50" t="str">
        <x:v>Có automation suite.</x:v>
      </x:c>
      <x:c r="E14" s="50" t="str">
        <x:v>1. Chạy suite và ghi log navigation.
2. Kiểm tra các lời gọi refresh/get.</x:v>
      </x:c>
      <x:c r="F14" s="50" t="str">
        <x:v>Không có refresh/reload thừa làm mất trạng thái hoặc tăng thời gian.</x:v>
      </x:c>
      <x:c r="G14" s="50" t="str">
        <x:v>High</x:v>
      </x:c>
      <x:c r="H14" s="50" t="str">
        <x:v>P1</x:v>
      </x:c>
      <x:c r="I14" s="50" t="str">
        <x:v>Recovery</x:v>
      </x:c>
      <x:c r="J14" s="50" t="str">
        <x:v>Automate</x:v>
      </x:c>
      <x:c r="K14" s="50" t="str"/>
      <x:c r="L14" s="50" t="str">
        <x:v>Not Run</x:v>
      </x:c>
      <x:c r="M14" s="50" t="str"/>
      <x:c r="N14" s="50" t="str"/>
    </x:row>
    <x:row r="15" ht="72" customHeight="1">
      <x:c r="A15" s="50" t="str">
        <x:v>CAR-011</x:v>
      </x:c>
      <x:c r="B15" s="50" t="str">
        <x:v>Common UI, Accessibility &amp; Recovery</x:v>
      </x:c>
      <x:c r="C15" s="50" t="str">
        <x:v>Desktop 1366x768 không vỡ layout</x:v>
      </x:c>
      <x:c r="D15" s="50" t="str">
        <x:v>Có tài khoản hợp lệ; đã đăng nhập CMS; nhóm Vua Thợ được phép truy cập. Đang ở trang Dashboard.</x:v>
      </x:c>
      <x:c r="E15" s="50" t="str">
        <x:v>1. Đặt viewport 1366x768.
2. Kiểm tra header/sidebar/card/chart.</x:v>
      </x:c>
      <x:c r="F15" s="50" t="str">
        <x:v>Không chồng lấn; control chính truy cập được.</x:v>
      </x:c>
      <x:c r="G15" s="50" t="str">
        <x:v>Medium</x:v>
      </x:c>
      <x:c r="H15" s="50" t="str">
        <x:v>P2</x:v>
      </x:c>
      <x:c r="I15" s="50" t="str">
        <x:v>Responsive</x:v>
      </x:c>
      <x:c r="J15" s="50" t="str">
        <x:v>Automate</x:v>
      </x:c>
      <x:c r="K15" s="50" t="str"/>
      <x:c r="L15" s="50" t="str">
        <x:v>Not Run</x:v>
      </x:c>
      <x:c r="M15" s="50" t="str"/>
      <x:c r="N15" s="50" t="str"/>
    </x:row>
    <x:row r="16" ht="72" customHeight="1">
      <x:c r="A16" s="50" t="str">
        <x:v>CAR-012</x:v>
      </x:c>
      <x:c r="B16" s="50" t="str">
        <x:v>Common UI, Accessibility &amp; Recovery</x:v>
      </x:c>
      <x:c r="C16" s="50" t="str">
        <x:v>Desktop 1920x1080 không vỡ layout</x:v>
      </x:c>
      <x:c r="D16" s="50" t="str">
        <x:v>Có tài khoản hợp lệ; đã đăng nhập CMS; nhóm Vua Thợ được phép truy cập. Đang ở trang Dashboard.</x:v>
      </x:c>
      <x:c r="E16" s="50" t="str">
        <x:v>1. Đặt viewport 1920x1080.
2. Kiểm tra layout.</x:v>
      </x:c>
      <x:c r="F16" s="50" t="str">
        <x:v>Nội dung căn chỉnh hợp lý; không kéo giãn bất thường.</x:v>
      </x:c>
      <x:c r="G16" s="50" t="str">
        <x:v>Low</x:v>
      </x:c>
      <x:c r="H16" s="50" t="str">
        <x:v>P3</x:v>
      </x:c>
      <x:c r="I16" s="50" t="str">
        <x:v>Responsive</x:v>
      </x:c>
      <x:c r="J16" s="50" t="str">
        <x:v>Automate</x:v>
      </x:c>
      <x:c r="K16" s="50" t="str"/>
      <x:c r="L16" s="50" t="str">
        <x:v>Not Run</x:v>
      </x:c>
      <x:c r="M16" s="50" t="str"/>
      <x:c r="N16" s="50" t="str"/>
    </x:row>
    <x:row r="17" ht="72" customHeight="1">
      <x:c r="A17" s="50" t="str">
        <x:v>CAR-013</x:v>
      </x:c>
      <x:c r="B17" s="50" t="str">
        <x:v>Common UI, Accessibility &amp; Recovery</x:v>
      </x:c>
      <x:c r="C17" s="50" t="str">
        <x:v>Tablet width không vỡ layout</x:v>
      </x:c>
      <x:c r="D17" s="50" t="str">
        <x:v>Có tài khoản hợp lệ; đã đăng nhập CMS; nhóm Vua Thợ được phép truy cập. Đang ở trang Dashboard.</x:v>
      </x:c>
      <x:c r="E17" s="50" t="str">
        <x:v>1. Đặt viewport tablet.
2. Cuộn và kiểm tra các section.</x:v>
      </x:c>
      <x:c r="F17" s="50" t="str">
        <x:v>Layout responsive; không mất control.</x:v>
      </x:c>
      <x:c r="G17" s="50" t="str">
        <x:v>Medium</x:v>
      </x:c>
      <x:c r="H17" s="50" t="str">
        <x:v>P2</x:v>
      </x:c>
      <x:c r="I17" s="50" t="str">
        <x:v>Responsive</x:v>
      </x:c>
      <x:c r="J17" s="50" t="str">
        <x:v>Automate</x:v>
      </x:c>
      <x:c r="K17" s="50" t="str"/>
      <x:c r="L17" s="50" t="str">
        <x:v>Not Run</x:v>
      </x:c>
      <x:c r="M17" s="50" t="str"/>
      <x:c r="N17" s="50" t="str"/>
    </x:row>
    <x:row r="18" ht="72" customHeight="1">
      <x:c r="A18" s="50" t="str">
        <x:v>CAR-014</x:v>
      </x:c>
      <x:c r="B18" s="50" t="str">
        <x:v>Common UI, Accessibility &amp; Recovery</x:v>
      </x:c>
      <x:c r="C18" s="50" t="str">
        <x:v>Mobile width xử lý đúng phạm vi hỗ trợ</x:v>
      </x:c>
      <x:c r="D18" s="50" t="str">
        <x:v>Có tài khoản hợp lệ; đã đăng nhập CMS; nhóm Vua Thợ được phép truy cập. Đang ở trang Dashboard.</x:v>
      </x:c>
      <x:c r="E18" s="50" t="str">
        <x:v>1. Đặt viewport mobile.
2. Kiểm tra sidebar/header/section.</x:v>
      </x:c>
      <x:c r="F18" s="50" t="str">
        <x:v>Nếu mobile được hỗ trợ, layout dùng được; nếu không, hiển thị giới hạn rõ.</x:v>
      </x:c>
      <x:c r="G18" s="50" t="str">
        <x:v>Low</x:v>
      </x:c>
      <x:c r="H18" s="50" t="str">
        <x:v>P3</x:v>
      </x:c>
      <x:c r="I18" s="50" t="str">
        <x:v>Responsive</x:v>
      </x:c>
      <x:c r="J18" s="50" t="str">
        <x:v>Need business requirement</x:v>
      </x:c>
      <x:c r="K18" s="50" t="str"/>
      <x:c r="L18" s="50" t="str">
        <x:v>Not Run</x:v>
      </x:c>
      <x:c r="M18" s="50" t="str"/>
      <x:c r="N18" s="50" t="str"/>
    </x:row>
    <x:row r="19" ht="72" customHeight="1">
      <x:c r="A19" s="50" t="str">
        <x:v>CAR-015</x:v>
      </x:c>
      <x:c r="B19" s="50" t="str">
        <x:v>Common UI, Accessibility &amp; Recovery</x:v>
      </x:c>
      <x:c r="C19" s="50" t="str">
        <x:v>API timeout có thể retry hoặc báo lỗi rõ</x:v>
      </x:c>
      <x:c r="D19" s="50" t="str">
        <x:v>Thực hiện trên môi trường test/staging với dữ liệu an toàn.</x:v>
      </x:c>
      <x:c r="E19" s="50" t="str">
        <x:v>1. Mock timeout cho một section.
2. Thực hiện đổi kỳ.</x:v>
      </x:c>
      <x:c r="F19" s="50" t="str">
        <x:v>Không treo toàn trang; có thông báo/retry theo thiết kế.</x:v>
      </x:c>
      <x:c r="G19" s="50" t="str">
        <x:v>High</x:v>
      </x:c>
      <x:c r="H19" s="50" t="str">
        <x:v>P1</x:v>
      </x:c>
      <x:c r="I19" s="50" t="str">
        <x:v>Recovery</x:v>
      </x:c>
      <x:c r="J19" s="50" t="str">
        <x:v>Need API/Database</x:v>
      </x:c>
      <x:c r="K19" s="50" t="str"/>
      <x:c r="L19" s="50" t="str">
        <x:v>Not Run</x:v>
      </x:c>
      <x:c r="M19" s="50" t="str"/>
      <x:c r="N19" s="50" t="str"/>
    </x:row>
    <x:row r="20" ht="72" customHeight="1">
      <x:c r="A20" s="50" t="str">
        <x:v>CAR-016</x:v>
      </x:c>
      <x:c r="B20" s="50" t="str">
        <x:v>Common UI, Accessibility &amp; Recovery</x:v>
      </x:c>
      <x:c r="C20" s="50" t="str">
        <x:v>Mất mạng giữa lúc đổi bộ lọc</x:v>
      </x:c>
      <x:c r="D20" s="50" t="str">
        <x:v>Thực hiện trên môi trường test/staging với dữ liệu an toàn.</x:v>
      </x:c>
      <x:c r="E20" s="50" t="str">
        <x:v>1. Bắt đầu đổi kỳ.
2. Ngắt mạng trước khi response về.
3. Khôi phục mạng.</x:v>
      </x:c>
      <x:c r="F20" s="50" t="str">
        <x:v>UI không hiển thị dữ liệu sai; có thể retry/khôi phục.</x:v>
      </x:c>
      <x:c r="G20" s="50" t="str">
        <x:v>High</x:v>
      </x:c>
      <x:c r="H20" s="50" t="str">
        <x:v>P1</x:v>
      </x:c>
      <x:c r="I20" s="50" t="str">
        <x:v>Recovery</x:v>
      </x:c>
      <x:c r="J20" s="50" t="str">
        <x:v>Need API/Network simulation</x:v>
      </x:c>
      <x:c r="K20" s="50" t="str"/>
      <x:c r="L20" s="50" t="str">
        <x:v>Not Run</x:v>
      </x:c>
      <x:c r="M20" s="50" t="str"/>
      <x:c r="N20" s="50" t="str"/>
    </x:row>
    <x:row r="21" ht="72" customHeight="1">
      <x:c r="A21" s="50" t="str">
        <x:v>CAR-017</x:v>
      </x:c>
      <x:c r="B21" s="50" t="str">
        <x:v>Common UI, Accessibility &amp; Recovery</x:v>
      </x:c>
      <x:c r="C21" s="50" t="str">
        <x:v>Dữ liệu text đặc biệt không gây XSS</x:v>
      </x:c>
      <x:c r="D21" s="50" t="str">
        <x:v>Thực hiện trên môi trường test/staging với dữ liệu an toàn.</x:v>
      </x:c>
      <x:c r="E21" s="50" t="str">
        <x:v>1. Mock tên ngành nghề/tin tức chứa HTML/script.
2. Mở Dashboard.</x:v>
      </x:c>
      <x:c r="F21" s="50" t="str">
        <x:v>Nội dung được escape; script không thực thi.</x:v>
      </x:c>
      <x:c r="G21" s="50" t="str">
        <x:v>Critical</x:v>
      </x:c>
      <x:c r="H21" s="50" t="str">
        <x:v>P0</x:v>
      </x:c>
      <x:c r="I21" s="50" t="str">
        <x:v>Security</x:v>
      </x:c>
      <x:c r="J21" s="50" t="str">
        <x:v>Need API/Database</x:v>
      </x:c>
      <x:c r="K21" s="50" t="str"/>
      <x:c r="L21" s="50" t="str">
        <x:v>Not Run</x:v>
      </x:c>
      <x:c r="M21" s="50" t="str"/>
      <x:c r="N21" s="50" t="str"/>
    </x:row>
    <x:row r="22" ht="72" customHeight="1">
      <x:c r="A22" s="50" t="str">
        <x:v>CAR-018</x:v>
      </x:c>
      <x:c r="B22" s="50" t="str">
        <x:v>Common UI, Accessibility &amp; Recovery</x:v>
      </x:c>
      <x:c r="C22" s="50" t="str">
        <x:v>Số liệu null/thiếu trường</x:v>
      </x:c>
      <x:c r="D22" s="50" t="str">
        <x:v>Thực hiện trên môi trường test/staging với dữ liệu an toàn.</x:v>
      </x:c>
      <x:c r="E22" s="50" t="str">
        <x:v>1. Mock API thiếu một số trường.
2. Mở Dashboard.</x:v>
      </x:c>
      <x:c r="F22" s="50" t="str">
        <x:v>Hiển thị placeholder/empty state; không crash hoặc hiện undefined.</x:v>
      </x:c>
      <x:c r="G22" s="50" t="str">
        <x:v>High</x:v>
      </x:c>
      <x:c r="H22" s="50" t="str">
        <x:v>P1</x:v>
      </x:c>
      <x:c r="I22" s="50" t="str">
        <x:v>Negative</x:v>
      </x:c>
      <x:c r="J22" s="50" t="str">
        <x:v>Need API/Database</x:v>
      </x:c>
      <x:c r="K22" s="50" t="str"/>
      <x:c r="L22" s="50" t="str">
        <x:v>Not Run</x:v>
      </x:c>
      <x:c r="M22" s="50" t="str"/>
      <x:c r="N22" s="50" t="str"/>
    </x:row>
    <x:row r="23" ht="72" customHeight="1">
      <x:c r="A23" s="50" t="str">
        <x:v>CAR-019</x:v>
      </x:c>
      <x:c r="B23" s="50" t="str">
        <x:v>Common UI, Accessibility &amp; Recovery</x:v>
      </x:c>
      <x:c r="C23" s="50" t="str">
        <x:v>Số liệu định dạng locale khác</x:v>
      </x:c>
      <x:c r="D23" s="50" t="str">
        <x:v>Thực hiện trên môi trường test/staging với dữ liệu an toàn.</x:v>
      </x:c>
      <x:c r="E23" s="50" t="str">
        <x:v>1. Mock số có dấu chấm/phẩy khác nhau hoặc đổi locale.
2. Mở Dashboard.</x:v>
      </x:c>
      <x:c r="F23" s="50" t="str">
        <x:v>UI format theo locale cấu hình; automation parse bằng quy tắc rõ ràng.</x:v>
      </x:c>
      <x:c r="G23" s="50" t="str">
        <x:v>Medium</x:v>
      </x:c>
      <x:c r="H23" s="50" t="str">
        <x:v>P2</x:v>
      </x:c>
      <x:c r="I23" s="50" t="str">
        <x:v>Boundary</x:v>
      </x:c>
      <x:c r="J23" s="50" t="str">
        <x:v>Need business requirement</x:v>
      </x:c>
      <x:c r="K23" s="50" t="str"/>
      <x:c r="L23" s="50" t="str">
        <x:v>Not Run</x:v>
      </x:c>
      <x:c r="M23" s="50" t="str"/>
      <x:c r="N23" s="50" t="str"/>
    </x:row>
    <x:row r="24" ht="72" customHeight="1">
      <x:c r="A24" s="50" t="str">
        <x:v>CAR-020</x:v>
      </x:c>
      <x:c r="B24" s="50" t="str">
        <x:v>Common UI, Accessibility &amp; Recovery</x:v>
      </x:c>
      <x:c r="C24" s="50" t="str">
        <x:v>Chụp screenshot và log khi testcase fail</x:v>
      </x:c>
      <x:c r="D24" s="50" t="str">
        <x:v>Có TestNG Listener.</x:v>
      </x:c>
      <x:c r="E24" s="50" t="str">
        <x:v>1. Làm fail một testcase.
2. Kiểm tra thư mục report/screenshot và log.</x:v>
      </x:c>
      <x:c r="F24" s="50" t="str">
        <x:v>Có screenshot, URL, expected, actual, timestamp và stack trace.</x:v>
      </x:c>
      <x:c r="G24" s="50" t="str">
        <x:v>High</x:v>
      </x:c>
      <x:c r="H24" s="50" t="str">
        <x:v>P1</x:v>
      </x:c>
      <x:c r="I24" s="50" t="str">
        <x:v>Recovery</x:v>
      </x:c>
      <x:c r="J24" s="50" t="str">
        <x:v>Automate</x:v>
      </x:c>
      <x:c r="K24" s="50" t="str"/>
      <x:c r="L24" s="50" t="str">
        <x:v>Not Run</x:v>
      </x:c>
      <x:c r="M24" s="50" t="str"/>
      <x:c r="N24" s="50" t="str"/>
    </x:row>
  </x:sheetData>
  <x:mergeCells>
    <x:mergeCell ref="A1:N1"/>
    <x:mergeCell ref="A2:N2"/>
  </x:mergeCells>
  <x:conditionalFormatting sqref="L5:L24">
    <x:cfRule type="expression" dxfId="63" priority="1">
      <x:formula>L5="Pass"</x:formula>
    </x:cfRule>
    <x:cfRule type="expression" dxfId="64" priority="2">
      <x:formula>L5="Fail"</x:formula>
    </x:cfRule>
    <x:cfRule type="expression" dxfId="65" priority="3">
      <x:formula>L5="Blocked"</x:formula>
    </x:cfRule>
    <x:cfRule type="expression" dxfId="66" priority="4">
      <x:formula>L5="Skipped"</x:formula>
    </x:cfRule>
    <x:cfRule type="expression" dxfId="67" priority="5">
      <x:formula>L5="Not Run"</x:formula>
    </x:cfRule>
  </x:conditionalFormatting>
  <x:conditionalFormatting sqref="G5:G24">
    <x:cfRule type="expression" dxfId="68" priority="6">
      <x:formula>G5="Critical"</x:formula>
    </x:cfRule>
    <x:cfRule type="expression" dxfId="69" priority="7">
      <x:formula>G5="High"</x:formula>
    </x:cfRule>
    <x:cfRule type="expression" dxfId="70" priority="8">
      <x:formula>G5="Medium"</x:formula>
    </x:cfRule>
    <x:cfRule type="expression" dxfId="71" priority="9">
      <x:formula>G5="Low"</x:formula>
    </x:cfRule>
  </x:conditionalFormatting>
  <x:dataValidations count="5">
    <x:dataValidation type="list" sqref="G5:G24">
      <x:formula1>"Critical,High,Medium,Low"</x:formula1>
    </x:dataValidation>
    <x:dataValidation type="list" sqref="H5:H24">
      <x:formula1>"P0,P1,P2,P3"</x:formula1>
    </x:dataValidation>
    <x:dataValidation type="list" sqref="I5:I24">
      <x:formula1>"Functional,UI,Navigation,Validation,Negative,Boundary,Data Integrity,Download,Session,Permission,Responsive,Accessibility,Recovery,Security"</x:formula1>
    </x:dataValidation>
    <x:dataValidation type="list" sqref="J5:J24">
      <x:formula1>"Automate,Need more DOM,Need API/Database,Need business requirement,Need API/Network simulation,Manual"</x:formula1>
    </x:dataValidation>
    <x:dataValidation type="list" sqref="L5:L24">
      <x:formula1>"Not Run,Pass,Fail,Blocked,Skipped"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da11b140ce43c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32" hidden="0" customWidth="1"/>
    <x:col min="4" max="4" width="32" hidden="0" customWidth="1"/>
    <x:col min="5" max="5" width="34" hidden="0" customWidth="1"/>
    <x:col min="6" max="6" width="42" hidden="0" customWidth="1"/>
  </x:cols>
  <x:sheetData>
    <x:row r="1" ht="30" customHeight="1">
      <x:c r="A1" s="5" t="str">
        <x:v>TRACEABILITY MATRIX</x:v>
      </x:c>
      <x:c r="B1" s="5"/>
      <x:c r="C1" s="5"/>
      <x:c r="D1" s="5"/>
      <x:c r="E1" s="5"/>
      <x:c r="F1" s="5"/>
    </x:row>
    <x:row r="2" ht="34" customHeight="1">
      <x:c r="A2" s="13" t="str">
        <x:v>Feature → Test Case IDs → Automation Class → Page/Component.</x:v>
      </x:c>
      <x:c r="B2" s="13"/>
      <x:c r="C2" s="13"/>
      <x:c r="D2" s="13"/>
      <x:c r="E2" s="13"/>
      <x:c r="F2" s="13"/>
    </x:row>
    <x:row r="4">
      <x:c r="A4" s="44" t="str">
        <x:v>Feature ID</x:v>
      </x:c>
      <x:c r="B4" s="44" t="str">
        <x:v>Test Case IDs</x:v>
      </x:c>
      <x:c r="C4" s="44" t="str">
        <x:v>Automation Class</x:v>
      </x:c>
      <x:c r="D4" s="44" t="str">
        <x:v>Page/Component</x:v>
      </x:c>
      <x:c r="E4" s="44" t="str">
        <x:v>Coverage Note</x:v>
      </x:c>
      <x:c r="F4" s="44"/>
    </x:row>
    <x:row r="5">
      <x:c r="A5" s="50" t="str">
        <x:v>F-001</x:v>
      </x:c>
      <x:c r="B5" s="50" t="str">
        <x:v>DLS-001:DLS-004, DLS-009</x:v>
      </x:c>
      <x:c r="C5" s="50" t="str">
        <x:v>DashboardLoadTest</x:v>
      </x:c>
      <x:c r="D5" s="50" t="str">
        <x:v>DashboardPage</x:v>
      </x:c>
      <x:c r="E5" s="50" t="str">
        <x:v>Load, page identity, core sections</x:v>
      </x:c>
      <x:c r="F5" s="50"/>
    </x:row>
    <x:row r="6">
      <x:c r="A6" s="50" t="str">
        <x:v>F-002</x:v>
      </x:c>
      <x:c r="B6" s="50" t="str">
        <x:v>DLS-005:DLS-008, DLS-013:DLS-014</x:v>
      </x:c>
      <x:c r="C6" s="50" t="str">
        <x:v>DashboardSessionTest</x:v>
      </x:c>
      <x:c r="D6" s="50" t="str">
        <x:v>BaseCmsPage/HeaderComponent</x:v>
      </x:c>
      <x:c r="E6" s="50" t="str">
        <x:v>Reload, logout, refresh, permission</x:v>
      </x:c>
      <x:c r="F6" s="50"/>
    </x:row>
    <x:row r="7">
      <x:c r="A7" s="50" t="str">
        <x:v>F-003</x:v>
      </x:c>
      <x:c r="B7" s="50" t="str">
        <x:v>HCW-001:HCW-004</x:v>
      </x:c>
      <x:c r="C7" s="50" t="str">
        <x:v>HeaderSessionTest</x:v>
      </x:c>
      <x:c r="D7" s="50" t="str">
        <x:v>HeaderComponent</x:v>
      </x:c>
      <x:c r="E7" s="50" t="str">
        <x:v>Account and logout</x:v>
      </x:c>
      <x:c r="F7" s="50"/>
    </x:row>
    <x:row r="8">
      <x:c r="A8" s="50" t="str">
        <x:v>F-004</x:v>
      </x:c>
      <x:c r="B8" s="50" t="str">
        <x:v>HCW-005:HCW-008</x:v>
      </x:c>
      <x:c r="C8" s="50" t="str">
        <x:v>HeaderNewsTest</x:v>
      </x:c>
      <x:c r="D8" s="50" t="str">
        <x:v>HeaderComponent</x:v>
      </x:c>
      <x:c r="E8" s="50" t="str">
        <x:v>Marquee and transaction link</x:v>
      </x:c>
      <x:c r="F8" s="50"/>
    </x:row>
    <x:row r="9">
      <x:c r="A9" s="50" t="str">
        <x:v>F-005</x:v>
      </x:c>
      <x:c r="B9" s="50" t="str">
        <x:v>HCW-010:HCW-015</x:v>
      </x:c>
      <x:c r="C9" s="50" t="str">
        <x:v>CallCenterWidgetTest</x:v>
      </x:c>
      <x:c r="D9" s="50" t="str">
        <x:v>CallCenterWidgetComponent</x:v>
      </x:c>
      <x:c r="E9" s="50" t="str">
        <x:v>Display, badge, open, drag, responsive</x:v>
      </x:c>
      <x:c r="F9" s="50"/>
    </x:row>
    <x:row r="10">
      <x:c r="A10" s="50" t="str">
        <x:v>F-006</x:v>
      </x:c>
      <x:c r="B10" s="50" t="str">
        <x:v>SBM-001:SBM-006</x:v>
      </x:c>
      <x:c r="C10" s="50" t="str">
        <x:v>SidebarGroupTest</x:v>
      </x:c>
      <x:c r="D10" s="50" t="str">
        <x:v>SidebarComponent</x:v>
      </x:c>
      <x:c r="E10" s="50" t="str">
        <x:v>System groups and active state</x:v>
      </x:c>
      <x:c r="F10" s="50"/>
    </x:row>
    <x:row r="11">
      <x:c r="A11" s="50" t="str">
        <x:v>F-007</x:v>
      </x:c>
      <x:c r="B11" s="50" t="str">
        <x:v>SBM-007:SBM-010</x:v>
      </x:c>
      <x:c r="C11" s="50" t="str">
        <x:v>SidebarLayoutTest</x:v>
      </x:c>
      <x:c r="D11" s="50" t="str">
        <x:v>SidebarComponent</x:v>
      </x:c>
      <x:c r="E11" s="50" t="str">
        <x:v>Collapse/expand/scroll</x:v>
      </x:c>
      <x:c r="F11" s="50"/>
    </x:row>
    <x:row r="12">
      <x:c r="A12" s="50" t="str">
        <x:v>F-008</x:v>
      </x:c>
      <x:c r="B12" s="50" t="str">
        <x:v>SBM-013:SBM-021</x:v>
      </x:c>
      <x:c r="C12" s="50" t="str">
        <x:v>SidebarAccordionTest</x:v>
      </x:c>
      <x:c r="D12" s="50" t="str">
        <x:v>SidebarComponent</x:v>
      </x:c>
      <x:c r="E12" s="50" t="str">
        <x:v>All parent menus</x:v>
      </x:c>
      <x:c r="F12" s="50"/>
    </x:row>
    <x:row r="13">
      <x:c r="A13" s="50" t="str">
        <x:v>F-009</x:v>
      </x:c>
      <x:c r="B13" s="50" t="str">
        <x:v>SBM-022:SBM-037</x:v>
      </x:c>
      <x:c r="C13" s="50" t="str">
        <x:v>MenuNavigationTest</x:v>
      </x:c>
      <x:c r="D13" s="50" t="str">
        <x:v>SidebarComponent</x:v>
      </x:c>
      <x:c r="E13" s="50" t="str">
        <x:v>All visible href routes</x:v>
      </x:c>
      <x:c r="F13" s="50"/>
    </x:row>
    <x:row r="14">
      <x:c r="A14" s="50" t="str">
        <x:v>F-010</x:v>
      </x:c>
      <x:c r="B14" s="50" t="str">
        <x:v>OVD-001:OVD-012, OVD-017, OVD-027:OVD-028</x:v>
      </x:c>
      <x:c r="C14" s="50" t="str">
        <x:v>OverviewCardTest</x:v>
      </x:c>
      <x:c r="D14" s="50" t="str">
        <x:v>OverviewComponent</x:v>
      </x:c>
      <x:c r="E14" s="50" t="str">
        <x:v>Six cards, values, clicks</x:v>
      </x:c>
      <x:c r="F14" s="50"/>
    </x:row>
    <x:row r="15">
      <x:c r="A15" s="50" t="str">
        <x:v>F-011</x:v>
      </x:c>
      <x:c r="B15" s="50" t="str">
        <x:v>OVD-013:OVD-016</x:v>
      </x:c>
      <x:c r="C15" s="50" t="str">
        <x:v>OverviewKycIntegrityTest</x:v>
      </x:c>
      <x:c r="D15" s="50" t="str">
        <x:v>OverviewComponent</x:v>
      </x:c>
      <x:c r="E15" s="50" t="str">
        <x:v>KYC totals and percentages</x:v>
      </x:c>
      <x:c r="F15" s="50"/>
    </x:row>
    <x:row r="16">
      <x:c r="A16" s="50" t="str">
        <x:v>F-012</x:v>
      </x:c>
      <x:c r="B16" s="50" t="str">
        <x:v>OVD-018:OVD-026</x:v>
      </x:c>
      <x:c r="C16" s="50" t="str">
        <x:v>DashboardDrawerTest</x:v>
      </x:c>
      <x:c r="D16" s="50" t="str">
        <x:v>DashboardDrawerComponent</x:v>
      </x:c>
      <x:c r="E16" s="50" t="str">
        <x:v>Open/close/state/actions</x:v>
      </x:c>
      <x:c r="F16" s="50"/>
    </x:row>
    <x:row r="17">
      <x:c r="A17" s="50" t="str">
        <x:v>F-013</x:v>
      </x:c>
      <x:c r="B17" s="50" t="str">
        <x:v>GCC-001:GCC-008</x:v>
      </x:c>
      <x:c r="C17" s="50" t="str">
        <x:v>GlobalCoverageCardTest</x:v>
      </x:c>
      <x:c r="D17" s="50" t="str">
        <x:v>GlobalCoverageComponent</x:v>
      </x:c>
      <x:c r="E17" s="50" t="str">
        <x:v>Map, countries, click, responsive</x:v>
      </x:c>
      <x:c r="F17" s="50"/>
    </x:row>
    <x:row r="18">
      <x:c r="A18" s="50" t="str">
        <x:v>F-014</x:v>
      </x:c>
      <x:c r="B18" s="50" t="str">
        <x:v>UST-001:UST-011</x:v>
      </x:c>
      <x:c r="C18" s="50" t="str">
        <x:v>UserPeriodFilterTest</x:v>
      </x:c>
      <x:c r="D18" s="50" t="str">
        <x:v>UserStatisticsComponent</x:v>
      </x:c>
      <x:c r="E18" s="50" t="str">
        <x:v>Period selector and independence</x:v>
      </x:c>
      <x:c r="F18" s="50"/>
    </x:row>
    <x:row r="19">
      <x:c r="A19" s="50" t="str">
        <x:v>F-015</x:v>
      </x:c>
      <x:c r="B19" s="50" t="str">
        <x:v>UST-012:UST-019</x:v>
      </x:c>
      <x:c r="C19" s="50" t="str">
        <x:v>UserCustomDateTest</x:v>
      </x:c>
      <x:c r="D19" s="50" t="str">
        <x:v>UserStatisticsComponent</x:v>
      </x:c>
      <x:c r="E19" s="50" t="str">
        <x:v>Custom date flows</x:v>
      </x:c>
      <x:c r="F19" s="50"/>
    </x:row>
    <x:row r="20">
      <x:c r="A20" s="50" t="str">
        <x:v>F-016</x:v>
      </x:c>
      <x:c r="B20" s="50" t="str">
        <x:v>UST-020:UST-028</x:v>
      </x:c>
      <x:c r="C20" s="50" t="str">
        <x:v>UserExportExcelTest</x:v>
      </x:c>
      <x:c r="D20" s="50" t="str">
        <x:v>UserStatisticsComponent + ExcelReader</x:v>
      </x:c>
      <x:c r="E20" s="50" t="str">
        <x:v>Download and content</x:v>
      </x:c>
      <x:c r="F20" s="50"/>
    </x:row>
    <x:row r="21">
      <x:c r="A21" s="50" t="str">
        <x:v>F-017</x:v>
      </x:c>
      <x:c r="B21" s="50" t="str">
        <x:v>UST-029:UST-038</x:v>
      </x:c>
      <x:c r="C21" s="50" t="str">
        <x:v>UserChartTest</x:v>
      </x:c>
      <x:c r="D21" s="50" t="str">
        <x:v>ChartComponent</x:v>
      </x:c>
      <x:c r="E21" s="50" t="str">
        <x:v>Render, axes, tooltip, boundary</x:v>
      </x:c>
      <x:c r="F21" s="50"/>
    </x:row>
    <x:row r="22">
      <x:c r="A22" s="50" t="str">
        <x:v>F-018</x:v>
      </x:c>
      <x:c r="B22" s="50" t="str">
        <x:v>UST-039:UST-048</x:v>
      </x:c>
      <x:c r="C22" s="50" t="str">
        <x:v>UserComparisonTest</x:v>
      </x:c>
      <x:c r="D22" s="50" t="str">
        <x:v>UserStatisticsComponent</x:v>
      </x:c>
      <x:c r="E22" s="50" t="str">
        <x:v>Comparison formulas and edge cases</x:v>
      </x:c>
      <x:c r="F22" s="50"/>
    </x:row>
    <x:row r="23">
      <x:c r="A23" s="50" t="str">
        <x:v>F-019</x:v>
      </x:c>
      <x:c r="B23" s="50" t="str">
        <x:v>INS-001:INS-012</x:v>
      </x:c>
      <x:c r="C23" s="50" t="str">
        <x:v>IndustryPeriodFilterTest</x:v>
      </x:c>
      <x:c r="D23" s="50" t="str">
        <x:v>IndustryStatisticsComponent</x:v>
      </x:c>
      <x:c r="E23" s="50" t="str">
        <x:v>Period selector and independence</x:v>
      </x:c>
      <x:c r="F23" s="50"/>
    </x:row>
    <x:row r="24">
      <x:c r="A24" s="50" t="str">
        <x:v>F-020</x:v>
      </x:c>
      <x:c r="B24" s="50" t="str">
        <x:v>INS-013:INS-019</x:v>
      </x:c>
      <x:c r="C24" s="50" t="str">
        <x:v>IndustryCustomDateTest</x:v>
      </x:c>
      <x:c r="D24" s="50" t="str">
        <x:v>IndustryStatisticsComponent</x:v>
      </x:c>
      <x:c r="E24" s="50" t="str">
        <x:v>Custom date flows</x:v>
      </x:c>
      <x:c r="F24" s="50"/>
    </x:row>
    <x:row r="25">
      <x:c r="A25" s="50" t="str">
        <x:v>F-021</x:v>
      </x:c>
      <x:c r="B25" s="50" t="str">
        <x:v>INS-020, INS-022, INS-024:INS-025</x:v>
      </x:c>
      <x:c r="C25" s="50" t="str">
        <x:v>WorkerRegistrationSummaryTest</x:v>
      </x:c>
      <x:c r="D25" s="50" t="str">
        <x:v>IndustryStatisticsComponent</x:v>
      </x:c>
      <x:c r="E25" s="50" t="str">
        <x:v>Main worker totals</x:v>
      </x:c>
      <x:c r="F25" s="50"/>
    </x:row>
    <x:row r="26">
      <x:c r="A26" s="50" t="str">
        <x:v>F-022</x:v>
      </x:c>
      <x:c r="B26" s="50" t="str">
        <x:v>INS-021, INS-023:INS-025</x:v>
      </x:c>
      <x:c r="C26" s="50" t="str">
        <x:v>WorkerRegistrationSummaryTest</x:v>
      </x:c>
      <x:c r="D26" s="50" t="str">
        <x:v>IndustryStatisticsComponent</x:v>
      </x:c>
      <x:c r="E26" s="50" t="str">
        <x:v>Helper worker totals</x:v>
      </x:c>
      <x:c r="F26" s="50"/>
    </x:row>
    <x:row r="27">
      <x:c r="A27" s="50" t="str">
        <x:v>F-023</x:v>
      </x:c>
      <x:c r="B27" s="50" t="str">
        <x:v>INS-026:INS-039</x:v>
      </x:c>
      <x:c r="C27" s="50" t="str">
        <x:v>IndustryRankingTest</x:v>
      </x:c>
      <x:c r="D27" s="50" t="str">
        <x:v>IndustryRankingComponent</x:v>
      </x:c>
      <x:c r="E27" s="50" t="str">
        <x:v>Rank, share, sums, edge cases</x:v>
      </x:c>
      <x:c r="F27" s="50"/>
    </x:row>
    <x:row r="28">
      <x:c r="A28" s="50" t="str">
        <x:v>F-024</x:v>
      </x:c>
      <x:c r="B28" s="50" t="str">
        <x:v>INS-040:INS-048</x:v>
      </x:c>
      <x:c r="C28" s="50" t="str">
        <x:v>IndustryChartToggleTest</x:v>
      </x:c>
      <x:c r="D28" s="50" t="str">
        <x:v>IndustryChartComponent</x:v>
      </x:c>
      <x:c r="E28" s="50" t="str">
        <x:v>Toggle, chart, tooltip</x:v>
      </x:c>
      <x:c r="F28" s="50"/>
    </x:row>
    <x:row r="29">
      <x:c r="A29" s="50" t="str">
        <x:v>F-025</x:v>
      </x:c>
      <x:c r="B29" s="50" t="str">
        <x:v>GCC-008, HCW-015, CAR-011:CAR-014</x:v>
      </x:c>
      <x:c r="C29" s="50" t="str">
        <x:v>DashboardResponsiveTest</x:v>
      </x:c>
      <x:c r="D29" s="50" t="str">
        <x:v>DashboardPage</x:v>
      </x:c>
      <x:c r="E29" s="50" t="str">
        <x:v>Desktop/tablet/mobile</x:v>
      </x:c>
      <x:c r="F29" s="50"/>
    </x:row>
    <x:row r="30">
      <x:c r="A30" s="50" t="str">
        <x:v>F-026</x:v>
      </x:c>
      <x:c r="B30" s="50" t="str">
        <x:v>SBM-038, OVD-026, UST-011, INS-012, CAR-001:CAR-003</x:v>
      </x:c>
      <x:c r="C30" s="50" t="str">
        <x:v>DashboardAccessibilityTest</x:v>
      </x:c>
      <x:c r="D30" s="50" t="str">
        <x:v>All components</x:v>
      </x:c>
      <x:c r="E30" s="50" t="str">
        <x:v>Keyboard and accessible names</x:v>
      </x:c>
      <x:c r="F30" s="50"/>
    </x:row>
    <x:row r="31">
      <x:c r="A31" s="50" t="str">
        <x:v>F-027</x:v>
      </x:c>
      <x:c r="B31" s="50" t="str">
        <x:v>DLS-011:DLS-013, UST-028, CAR-015:CAR-019</x:v>
      </x:c>
      <x:c r="C31" s="50" t="str">
        <x:v>DashboardRecoveryTest</x:v>
      </x:c>
      <x:c r="D31" s="50" t="str">
        <x:v>Mock server/network layer</x:v>
      </x:c>
      <x:c r="E31" s="50" t="str">
        <x:v>API/network/data failure</x:v>
      </x:c>
      <x:c r="F31" s="50"/>
    </x:row>
    <x:row r="32">
      <x:c r="A32" s="50" t="str">
        <x:v>F-028</x:v>
      </x:c>
      <x:c r="B32" s="50" t="str">
        <x:v>CAR-006:CAR-010, CAR-020</x:v>
      </x:c>
      <x:c r="C32" s="50" t="str">
        <x:v>FrameworkLifecycleTest</x:v>
      </x:c>
      <x:c r="D32" s="50" t="str">
        <x:v>BaseTest/Listener</x:v>
      </x:c>
      <x:c r="E32" s="50" t="str">
        <x:v>Waits, retries, lifecycle, reporting</x:v>
      </x:c>
      <x:c r="F32" s="50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427657ba7c247a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28" hidden="0" customWidth="1"/>
    <x:col min="4" max="4" width="45" hidden="0" customWidth="1"/>
  </x:cols>
  <x:sheetData>
    <x:row r="1" ht="30" customHeight="1">
      <x:c r="A1" s="5" t="str">
        <x:v>TEST DATA &amp; DOM SNAPSHOT</x:v>
      </x:c>
      <x:c r="B1" s="5"/>
      <x:c r="C1" s="5"/>
      <x:c r="D1" s="5"/>
      <x:c r="E1" s="5"/>
      <x:c r="F1" s="5"/>
    </x:row>
    <x:row r="2" ht="34" customHeight="1">
      <x:c r="A2" s="13" t="str">
        <x:v>Dữ liệu dưới đây chỉ là snapshot tại thời điểm copy outerHTML. Không hard-code làm expected cố định.</x:v>
      </x:c>
      <x:c r="B2" s="13"/>
      <x:c r="C2" s="13"/>
      <x:c r="D2" s="13"/>
      <x:c r="E2" s="13"/>
      <x:c r="F2" s="13"/>
    </x:row>
    <x:row r="4">
      <x:c r="A4" s="19" t="str">
        <x:v>Category</x:v>
      </x:c>
      <x:c r="B4" s="19" t="str">
        <x:v>Metric / Item</x:v>
      </x:c>
      <x:c r="C4" s="19" t="str">
        <x:v>Observed Value</x:v>
      </x:c>
      <x:c r="D4" s="19" t="str">
        <x:v>Notes</x:v>
      </x:c>
    </x:row>
    <x:row r="5">
      <x:c r="A5" s="49" t="str">
        <x:v>Overview</x:v>
      </x:c>
      <x:c r="B5" s="49" t="str">
        <x:v>Đơn dịch vụ</x:v>
      </x:c>
      <x:c r="C5" s="49" t="str">
        <x:v>12.203</x:v>
      </x:c>
      <x:c r="D5" s="49" t="str">
        <x:v>Giá trị động tại thời điểm copy HTML</x:v>
      </x:c>
    </x:row>
    <x:row r="6">
      <x:c r="A6" s="49" t="str">
        <x:v>Overview</x:v>
      </x:c>
      <x:c r="B6" s="49" t="str">
        <x:v>Số lượng người dùng</x:v>
      </x:c>
      <x:c r="C6" s="49" t="str">
        <x:v>5.004.134</x:v>
      </x:c>
      <x:c r="D6" s="49" t="str">
        <x:v>Giá trị động</x:v>
      </x:c>
    </x:row>
    <x:row r="7">
      <x:c r="A7" s="49" t="str">
        <x:v>Overview</x:v>
      </x:c>
      <x:c r="B7" s="49" t="str">
        <x:v>Người dùng đã KYC</x:v>
      </x:c>
      <x:c r="C7" s="49" t="str">
        <x:v>1.723 (0.0%)</x:v>
      </x:c>
      <x:c r="D7" s="49" t="str">
        <x:v>Tỷ lệ làm tròn 1 chữ số</x:v>
      </x:c>
    </x:row>
    <x:row r="8">
      <x:c r="A8" s="49" t="str">
        <x:v>Overview</x:v>
      </x:c>
      <x:c r="B8" s="49" t="str">
        <x:v>Số lượng thợ</x:v>
      </x:c>
      <x:c r="C8" s="49" t="str">
        <x:v>1.671</x:v>
      </x:c>
      <x:c r="D8" s="49" t="str">
        <x:v>Giá trị động</x:v>
      </x:c>
    </x:row>
    <x:row r="9">
      <x:c r="A9" s="49" t="str">
        <x:v>Overview</x:v>
      </x:c>
      <x:c r="B9" s="49" t="str">
        <x:v>Thợ đã KYC</x:v>
      </x:c>
      <x:c r="C9" s="49" t="str">
        <x:v>1.447 (86.6%)</x:v>
      </x:c>
      <x:c r="D9" s="49" t="str">
        <x:v>Tỷ lệ làm tròn 1 chữ số</x:v>
      </x:c>
    </x:row>
    <x:row r="10">
      <x:c r="A10" s="49" t="str">
        <x:v>Overview</x:v>
      </x:c>
      <x:c r="B10" s="49" t="str">
        <x:v>Nghiệp vụ</x:v>
      </x:c>
      <x:c r="C10" s="49" t="str">
        <x:v>239</x:v>
      </x:c>
      <x:c r="D10" s="49" t="str">
        <x:v>Giá trị động</x:v>
      </x:c>
    </x:row>
    <x:row r="11">
      <x:c r="A11" s="49" t="str">
        <x:v>Overview</x:v>
      </x:c>
      <x:c r="B11" s="49" t="str">
        <x:v>Ngành nghề</x:v>
      </x:c>
      <x:c r="C11" s="49" t="str">
        <x:v>70</x:v>
      </x:c>
      <x:c r="D11" s="49" t="str">
        <x:v>Giá trị động</x:v>
      </x:c>
    </x:row>
    <x:row r="12">
      <x:c r="A12" s="49" t="str">
        <x:v>Overview</x:v>
      </x:c>
      <x:c r="B12" s="49" t="str">
        <x:v>Nền tảng Vua Thợ</x:v>
      </x:c>
      <x:c r="C12" s="49" t="str">
        <x:v>3</x:v>
      </x:c>
      <x:c r="D12" s="49" t="str">
        <x:v>Giá trị động</x:v>
      </x:c>
    </x:row>
    <x:row r="13">
      <x:c r="A13" s="49" t="str">
        <x:v>Global</x:v>
      </x:c>
      <x:c r="B13" s="49" t="str">
        <x:v>Quốc gia</x:v>
      </x:c>
      <x:c r="C13" s="49" t="str">
        <x:v>7</x:v>
      </x:c>
      <x:c r="D13" s="49" t="str">
        <x:v>Card Vua Thợ Trên Toàn Cầu</x:v>
      </x:c>
    </x:row>
    <x:row r="14">
      <x:c r="A14" s="49" t="str">
        <x:v>User Period</x:v>
      </x:c>
      <x:c r="B14" s="49" t="str">
        <x:v>Kỳ active</x:v>
      </x:c>
      <x:c r="C14" s="49" t="str">
        <x:v>Tháng 7</x:v>
      </x:c>
      <x:c r="D14" s="49" t="str">
        <x:v>01/07/2026 - 31/07/2026</x:v>
      </x:c>
    </x:row>
    <x:row r="15">
      <x:c r="A15" s="49" t="str">
        <x:v>User Comparison</x:v>
      </x:c>
      <x:c r="B15" s="49" t="str">
        <x:v>Người dùng</x:v>
      </x:c>
      <x:c r="C15" s="49" t="str">
        <x:v>15 | 52 | giảm 71%</x:v>
      </x:c>
      <x:c r="D15" s="49" t="str">
        <x:v>Hiện tại | Kỳ trước | So sánh</x:v>
      </x:c>
    </x:row>
    <x:row r="16">
      <x:c r="A16" s="49" t="str">
        <x:v>User Comparison</x:v>
      </x:c>
      <x:c r="B16" s="49" t="str">
        <x:v>Người dùng đã KYC</x:v>
      </x:c>
      <x:c r="C16" s="49" t="str">
        <x:v>2 | 11 | giảm 82%</x:v>
      </x:c>
      <x:c r="D16" s="49" t="str"/>
    </x:row>
    <x:row r="17">
      <x:c r="A17" s="49" t="str">
        <x:v>User Comparison</x:v>
      </x:c>
      <x:c r="B17" s="49" t="str">
        <x:v>Thợ</x:v>
      </x:c>
      <x:c r="C17" s="49" t="str">
        <x:v>3 | 13 | giảm 77%</x:v>
      </x:c>
      <x:c r="D17" s="49" t="str"/>
    </x:row>
    <x:row r="18">
      <x:c r="A18" s="49" t="str">
        <x:v>User Comparison</x:v>
      </x:c>
      <x:c r="B18" s="49" t="str">
        <x:v>Thợ đã KYC</x:v>
      </x:c>
      <x:c r="C18" s="49" t="str">
        <x:v>2 | 9 | giảm 78%</x:v>
      </x:c>
      <x:c r="D18" s="49" t="str"/>
    </x:row>
    <x:row r="19">
      <x:c r="A19" s="49" t="str">
        <x:v>Industry</x:v>
      </x:c>
      <x:c r="B19" s="49" t="str">
        <x:v>ĐK Thợ chính</x:v>
      </x:c>
      <x:c r="C19" s="49" t="str">
        <x:v>9</x:v>
      </x:c>
      <x:c r="D19" s="49" t="str">
        <x:v>01/07/2026 - 31/07/2026</x:v>
      </x:c>
    </x:row>
    <x:row r="20">
      <x:c r="A20" s="49" t="str">
        <x:v>Industry</x:v>
      </x:c>
      <x:c r="B20" s="49" t="str">
        <x:v>ĐK Thợ phụ</x:v>
      </x:c>
      <x:c r="C20" s="49" t="str">
        <x:v>152</x:v>
      </x:c>
      <x:c r="D20" s="49" t="str">
        <x:v>Từ trước đến nay</x:v>
      </x:c>
    </x:row>
    <x:row r="21">
      <x:c r="A21" s="49" t="str">
        <x:v>Industry Ranking</x:v>
      </x:c>
      <x:c r="B21" s="49" t="str">
        <x:v>1. Điện lạnh</x:v>
      </x:c>
      <x:c r="C21" s="49" t="str">
        <x:v>55.56% | 5 | 1.459</x:v>
      </x:c>
      <x:c r="D21" s="49" t="str">
        <x:v>Thị phần | Trong kỳ | Tổng cộng</x:v>
      </x:c>
    </x:row>
    <x:row r="22">
      <x:c r="A22" s="49" t="str">
        <x:v>Industry Ranking</x:v>
      </x:c>
      <x:c r="B22" s="49" t="str">
        <x:v>2. Nails</x:v>
      </x:c>
      <x:c r="C22" s="49" t="str">
        <x:v>22.22% | 2 | 15</x:v>
      </x:c>
      <x:c r="D22" s="49" t="str"/>
    </x:row>
    <x:row r="23">
      <x:c r="A23" s="49" t="str">
        <x:v>Industry Ranking</x:v>
      </x:c>
      <x:c r="B23" s="49" t="str">
        <x:v>3. Nước</x:v>
      </x:c>
      <x:c r="C23" s="49" t="str">
        <x:v>11.11% | 1 | 66</x:v>
      </x:c>
      <x:c r="D23" s="49" t="str"/>
    </x:row>
    <x:row r="24">
      <x:c r="A24" s="49" t="str">
        <x:v>Industry Ranking</x:v>
      </x:c>
      <x:c r="B24" s="49" t="str">
        <x:v>4. Gia sư ngoại ngữ</x:v>
      </x:c>
      <x:c r="C24" s="49" t="str">
        <x:v>11.11% | 1 | 2</x:v>
      </x:c>
      <x:c r="D24" s="49" t="str"/>
    </x:row>
    <x:row r="25">
      <x:c r="A25" s="49" t="str">
        <x:v>Industry Chart</x:v>
      </x:c>
      <x:c r="B25" s="49" t="str">
        <x:v>Trạng thái</x:v>
      </x:c>
      <x:c r="C25" s="49" t="str">
        <x:v>Tắt</x:v>
      </x:c>
      <x:c r="D25" s="49" t="str">
        <x:v>Hiển thị thông báo tối ưu hiệu năng</x:v>
      </x:c>
    </x:row>
    <x:row r="28">
      <x:c r="A28" s="19" t="str">
        <x:v>Menu / Link</x:v>
      </x:c>
      <x:c r="B28" s="19" t="str">
        <x:v>Route</x:v>
      </x:c>
    </x:row>
    <x:row r="29">
      <x:c r="A29" s="32" t="str">
        <x:v>Dashboard</x:v>
      </x:c>
      <x:c r="B29" s="32" t="str">
        <x:v>/vuatho/dashboard</x:v>
      </x:c>
    </x:row>
    <x:row r="30">
      <x:c r="A30" s="32" t="str">
        <x:v>Hiệu Quả Nguồn Thợ &amp; Chi Phí</x:v>
      </x:c>
      <x:c r="B30" s="32" t="str">
        <x:v>/vuatho/supply-performance</x:v>
      </x:c>
    </x:row>
    <x:row r="31">
      <x:c r="A31" s="32" t="str">
        <x:v>Tài chính</x:v>
      </x:c>
      <x:c r="B31" s="32" t="str">
        <x:v>/vuatho/finance</x:v>
      </x:c>
    </x:row>
    <x:row r="32">
      <x:c r="A32" s="32" t="str">
        <x:v>Quản Lí Người Dùng</x:v>
      </x:c>
      <x:c r="B32" s="32" t="str">
        <x:v>/vuatho/user</x:v>
      </x:c>
    </x:row>
    <x:row r="33">
      <x:c r="A33" s="32" t="str">
        <x:v>Quản Lí eKYC</x:v>
      </x:c>
      <x:c r="B33" s="32" t="str">
        <x:v>/vuatho/ekyc</x:v>
      </x:c>
    </x:row>
    <x:row r="34">
      <x:c r="A34" s="32" t="str">
        <x:v>Bài Kiểm Tra</x:v>
      </x:c>
      <x:c r="B34" s="32" t="str">
        <x:v>/vuatho/tested</x:v>
      </x:c>
    </x:row>
    <x:row r="35">
      <x:c r="A35" s="32" t="str">
        <x:v>Nghiệp Vụ</x:v>
      </x:c>
      <x:c r="B35" s="32" t="str">
        <x:v>/vuatho/service</x:v>
      </x:c>
    </x:row>
    <x:row r="36">
      <x:c r="A36" s="32" t="str">
        <x:v>Quản Lí AI</x:v>
      </x:c>
      <x:c r="B36" s="32" t="str">
        <x:v>/vuatho/model-AI</x:v>
      </x:c>
    </x:row>
    <x:row r="37">
      <x:c r="A37" s="32" t="str">
        <x:v>Quản Lí Mạng Xã Hội</x:v>
      </x:c>
      <x:c r="B37" s="32" t="str">
        <x:v>/vuatho/social-network</x:v>
      </x:c>
    </x:row>
    <x:row r="38">
      <x:c r="A38" s="32" t="str">
        <x:v>Hiệu suất Marketing</x:v>
      </x:c>
      <x:c r="B38" s="32" t="str">
        <x:v>/vuatho/marketing-statistic</x:v>
      </x:c>
    </x:row>
    <x:row r="39">
      <x:c r="A39" s="32" t="str">
        <x:v>Chương Trình Khuyến Mãi</x:v>
      </x:c>
      <x:c r="B39" s="32" t="str">
        <x:v>/vuatho/statistic-promotion</x:v>
      </x:c>
    </x:row>
    <x:row r="40">
      <x:c r="A40" s="32" t="str">
        <x:v>Quản Lí Chiến Dịch</x:v>
      </x:c>
      <x:c r="B40" s="32" t="str">
        <x:v>/vuatho/campaigns</x:v>
      </x:c>
    </x:row>
    <x:row r="41">
      <x:c r="A41" s="32" t="str">
        <x:v>Quản Lí Cuộc Thi</x:v>
      </x:c>
      <x:c r="B41" s="32" t="str">
        <x:v>/vuatho/competition</x:v>
      </x:c>
    </x:row>
    <x:row r="42">
      <x:c r="A42" s="32" t="str">
        <x:v>Tỏa Sáng Vua Thợ</x:v>
      </x:c>
      <x:c r="B42" s="32" t="str">
        <x:v>/vuatho/toasangvuatho</x:v>
      </x:c>
    </x:row>
    <x:row r="43">
      <x:c r="A43" s="32" t="str">
        <x:v>Quản Lí Vua Thợ Care</x:v>
      </x:c>
      <x:c r="B43" s="32" t="str">
        <x:v>/vuatho/insurance</x:v>
      </x:c>
    </x:row>
    <x:row r="44">
      <x:c r="A44" s="32" t="str">
        <x:v>Yêu Cầu Hỗ Trợ (SOS)</x:v>
      </x:c>
      <x:c r="B44" s="32" t="str">
        <x:v>/vuatho/sos-request</x:v>
      </x:c>
    </x:row>
    <x:row r="45">
      <x:c r="A45" s="32" t="str">
        <x:v>Tin giao dịch</x:v>
      </x:c>
      <x:c r="B45" s="32" t="str">
        <x:v>/vuatho/transaction</x:v>
      </x:c>
    </x:row>
    <x:row r="46">
      <x:c r="A46" s="32" t="str">
        <x:v>Logo</x:v>
      </x:c>
      <x:c r="B46" s="32" t="str">
        <x:v>/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</x:cols>
  <x:sheetData>
    <x:row r="1">
      <x:c r="A1" s="19" t="str">
        <x:v>Status</x:v>
      </x:c>
      <x:c r="B1" s="19" t="str">
        <x:v>Severity</x:v>
      </x:c>
      <x:c r="C1" s="19" t="str">
        <x:v>Priority</x:v>
      </x:c>
      <x:c r="D1" s="19" t="str">
        <x:v>Test Type</x:v>
      </x:c>
      <x:c r="E1" s="19" t="str">
        <x:v>Automation Feasibility</x:v>
      </x:c>
      <x:c r="F1" s="19" t="str">
        <x:v>Module</x:v>
      </x:c>
    </x:row>
    <x:row r="2">
      <x:c r="A2" t="str">
        <x:v>Not Run</x:v>
      </x:c>
      <x:c r="B2" t="str">
        <x:v>Critical</x:v>
      </x:c>
      <x:c r="C2" t="str">
        <x:v>P0</x:v>
      </x:c>
      <x:c r="D2" t="str">
        <x:v>Functional</x:v>
      </x:c>
      <x:c r="E2" t="str">
        <x:v>Automate</x:v>
      </x:c>
      <x:c r="F2" t="str">
        <x:v>Dashboard Load &amp; Session</x:v>
      </x:c>
    </x:row>
    <x:row r="3">
      <x:c r="A3" t="str">
        <x:v>Pass</x:v>
      </x:c>
      <x:c r="B3" t="str">
        <x:v>High</x:v>
      </x:c>
      <x:c r="C3" t="str">
        <x:v>P1</x:v>
      </x:c>
      <x:c r="D3" t="str">
        <x:v>UI</x:v>
      </x:c>
      <x:c r="E3" t="str">
        <x:v>Need more DOM</x:v>
      </x:c>
      <x:c r="F3" t="str">
        <x:v>Header &amp; Common Widgets</x:v>
      </x:c>
    </x:row>
    <x:row r="4">
      <x:c r="A4" t="str">
        <x:v>Fail</x:v>
      </x:c>
      <x:c r="B4" t="str">
        <x:v>Medium</x:v>
      </x:c>
      <x:c r="C4" t="str">
        <x:v>P2</x:v>
      </x:c>
      <x:c r="D4" t="str">
        <x:v>Navigation</x:v>
      </x:c>
      <x:c r="E4" t="str">
        <x:v>Need API/Database</x:v>
      </x:c>
      <x:c r="F4" t="str">
        <x:v>Sidebar &amp; Menu</x:v>
      </x:c>
    </x:row>
    <x:row r="5">
      <x:c r="A5" t="str">
        <x:v>Blocked</x:v>
      </x:c>
      <x:c r="B5" t="str">
        <x:v>Low</x:v>
      </x:c>
      <x:c r="C5" t="str">
        <x:v>P3</x:v>
      </x:c>
      <x:c r="D5" t="str">
        <x:v>Validation</x:v>
      </x:c>
      <x:c r="E5" t="str">
        <x:v>Need business requirement</x:v>
      </x:c>
      <x:c r="F5" t="str">
        <x:v>Overview Cards &amp; Drawer</x:v>
      </x:c>
    </x:row>
    <x:row r="6">
      <x:c r="A6" t="str">
        <x:v>Skipped</x:v>
      </x:c>
      <x:c r="D6" t="str">
        <x:v>Negative</x:v>
      </x:c>
      <x:c r="E6" t="str">
        <x:v>Need API/Network simulation</x:v>
      </x:c>
      <x:c r="F6" t="str">
        <x:v>Global Coverage Card</x:v>
      </x:c>
    </x:row>
    <x:row r="7">
      <x:c r="D7" t="str">
        <x:v>Boundary</x:v>
      </x:c>
      <x:c r="E7" t="str">
        <x:v>Manual</x:v>
      </x:c>
      <x:c r="F7" t="str">
        <x:v>User Statistics</x:v>
      </x:c>
    </x:row>
    <x:row r="8">
      <x:c r="D8" t="str">
        <x:v>Data Integrity</x:v>
      </x:c>
      <x:c r="F8" t="str">
        <x:v>Industry Statistics</x:v>
      </x:c>
    </x:row>
    <x:row r="9">
      <x:c r="D9" t="str">
        <x:v>Download</x:v>
      </x:c>
      <x:c r="F9" t="str">
        <x:v>Common UI, Accessibility &amp; Recovery</x:v>
      </x:c>
    </x:row>
    <x:row r="10">
      <x:c r="D10" t="str">
        <x:v>Session</x:v>
      </x:c>
    </x:row>
    <x:row r="11">
      <x:c r="D11" t="str">
        <x:v>Permission</x:v>
      </x:c>
    </x:row>
    <x:row r="12">
      <x:c r="D12" t="str">
        <x:v>Responsive</x:v>
      </x:c>
    </x:row>
    <x:row r="13">
      <x:c r="D13" t="str">
        <x:v>Accessibility</x:v>
      </x:c>
    </x:row>
    <x:row r="14">
      <x:c r="D14" t="str">
        <x:v>Recovery</x:v>
      </x:c>
    </x:row>
    <x:row r="15">
      <x:c r="D15" t="str">
        <x:v>Security</x:v>
      </x:c>
    </x:row>
  </x:sheetData>
  <x:pageMargins left="0.7" right="0.7" top="0.75" bottom="0.75" header="0.3" footer="0.3"/>
</x:worksheet>
</file>